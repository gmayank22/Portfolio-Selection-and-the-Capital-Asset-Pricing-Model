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itk-my.sharepoint.com/personal/gmayank22_iitk_ac_in/Documents/IIT Kanpur/5th semester/Academics/ECO764/FULL SYLLABUS/ECO764_2024/Assignments 4&amp;5/Equity_assignment/"/>
    </mc:Choice>
  </mc:AlternateContent>
  <xr:revisionPtr revIDLastSave="395" documentId="8_{36A2B16B-2E4A-4825-BE17-E00148487162}" xr6:coauthVersionLast="47" xr6:coauthVersionMax="47" xr10:uidLastSave="{A7E222CE-32ED-432A-B71D-ACB3E6E58CD4}"/>
  <bookViews>
    <workbookView xWindow="-108" yWindow="-108" windowWidth="23256" windowHeight="12456" activeTab="4" xr2:uid="{00000000-000D-0000-FFFF-FFFF00000000}"/>
  </bookViews>
  <sheets>
    <sheet name="Monthly Returns" sheetId="1" r:id="rId1"/>
    <sheet name="Step1 " sheetId="2" r:id="rId2"/>
    <sheet name="Step2.Correlation.Calc" sheetId="3" r:id="rId3"/>
    <sheet name="Step2.graph" sheetId="4" r:id="rId4"/>
    <sheet name="Step3 and Step4" sheetId="5" r:id="rId5"/>
    <sheet name="Step5" sheetId="6" r:id="rId6"/>
    <sheet name="Step6" sheetId="8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5" i="8" l="1"/>
  <c r="J15" i="8"/>
  <c r="H15" i="8"/>
  <c r="J11" i="8"/>
  <c r="I11" i="8"/>
  <c r="H11" i="8"/>
  <c r="E15" i="8"/>
  <c r="F15" i="8"/>
  <c r="E11" i="8"/>
  <c r="H4" i="8"/>
  <c r="H3" i="8"/>
  <c r="H2" i="8"/>
  <c r="F4" i="8"/>
  <c r="F11" i="8" s="1"/>
  <c r="F3" i="8"/>
  <c r="F2" i="8"/>
  <c r="D15" i="8" s="1"/>
  <c r="D11" i="8" l="1"/>
  <c r="N14" i="5" l="1"/>
  <c r="N16" i="5"/>
  <c r="N17" i="5"/>
  <c r="N15" i="5"/>
  <c r="R8" i="5"/>
  <c r="R7" i="5"/>
  <c r="N11" i="5"/>
  <c r="N10" i="5"/>
  <c r="N8" i="5"/>
  <c r="N7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G77" i="5" s="1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H10" i="4"/>
  <c r="C47" i="4" s="1"/>
  <c r="D27" i="4"/>
  <c r="D35" i="4"/>
  <c r="D36" i="4"/>
  <c r="D61" i="4"/>
  <c r="D63" i="4"/>
  <c r="D69" i="4"/>
  <c r="D70" i="4"/>
  <c r="D71" i="4"/>
  <c r="D83" i="4"/>
  <c r="D84" i="4"/>
  <c r="D85" i="4"/>
  <c r="D87" i="4"/>
  <c r="D93" i="4"/>
  <c r="D94" i="4"/>
  <c r="D95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C80" i="4" s="1"/>
  <c r="B81" i="4"/>
  <c r="B82" i="4"/>
  <c r="B83" i="4"/>
  <c r="B84" i="4"/>
  <c r="B85" i="4"/>
  <c r="B86" i="4"/>
  <c r="B87" i="4"/>
  <c r="B88" i="4"/>
  <c r="B89" i="4"/>
  <c r="B90" i="4"/>
  <c r="B91" i="4"/>
  <c r="B92" i="4"/>
  <c r="C92" i="4" s="1"/>
  <c r="B93" i="4"/>
  <c r="B94" i="4"/>
  <c r="B95" i="4"/>
  <c r="B96" i="4"/>
  <c r="B97" i="4"/>
  <c r="B98" i="4"/>
  <c r="B99" i="4"/>
  <c r="B100" i="4"/>
  <c r="B101" i="4"/>
  <c r="C101" i="4" s="1"/>
  <c r="C62" i="4"/>
  <c r="C63" i="4"/>
  <c r="C85" i="4"/>
  <c r="B22" i="4"/>
  <c r="B23" i="4"/>
  <c r="D23" i="4" s="1"/>
  <c r="B24" i="4"/>
  <c r="D24" i="4" s="1"/>
  <c r="B25" i="4"/>
  <c r="D25" i="4" s="1"/>
  <c r="B26" i="4"/>
  <c r="B27" i="4"/>
  <c r="B28" i="4"/>
  <c r="B29" i="4"/>
  <c r="B30" i="4"/>
  <c r="C30" i="4" s="1"/>
  <c r="B31" i="4"/>
  <c r="B32" i="4"/>
  <c r="C32" i="4" s="1"/>
  <c r="B33" i="4"/>
  <c r="C33" i="4" s="1"/>
  <c r="B34" i="4"/>
  <c r="C34" i="4" s="1"/>
  <c r="B35" i="4"/>
  <c r="B36" i="4"/>
  <c r="B37" i="4"/>
  <c r="D37" i="4" s="1"/>
  <c r="B38" i="4"/>
  <c r="B39" i="4"/>
  <c r="B40" i="4"/>
  <c r="B41" i="4"/>
  <c r="B42" i="4"/>
  <c r="B43" i="4"/>
  <c r="B44" i="4"/>
  <c r="C44" i="4" s="1"/>
  <c r="B45" i="4"/>
  <c r="C45" i="4" s="1"/>
  <c r="B46" i="4"/>
  <c r="C46" i="4" s="1"/>
  <c r="B47" i="4"/>
  <c r="B48" i="4"/>
  <c r="B49" i="4"/>
  <c r="B50" i="4"/>
  <c r="B51" i="4"/>
  <c r="B52" i="4"/>
  <c r="B53" i="4"/>
  <c r="B54" i="4"/>
  <c r="B55" i="4"/>
  <c r="B56" i="4"/>
  <c r="C56" i="4" s="1"/>
  <c r="B57" i="4"/>
  <c r="C57" i="4" s="1"/>
  <c r="B58" i="4"/>
  <c r="C58" i="4" s="1"/>
  <c r="B59" i="4"/>
  <c r="D59" i="4" s="1"/>
  <c r="B60" i="4"/>
  <c r="C60" i="4" s="1"/>
  <c r="H8" i="4"/>
  <c r="H7" i="4"/>
  <c r="H5" i="4"/>
  <c r="H4" i="4"/>
  <c r="D13" i="4" s="1"/>
  <c r="B2" i="4"/>
  <c r="B3" i="4"/>
  <c r="C3" i="4" s="1"/>
  <c r="B4" i="4"/>
  <c r="C4" i="4" s="1"/>
  <c r="B5" i="4"/>
  <c r="C5" i="4" s="1"/>
  <c r="B6" i="4"/>
  <c r="B7" i="4"/>
  <c r="C7" i="4" s="1"/>
  <c r="B8" i="4"/>
  <c r="D8" i="4" s="1"/>
  <c r="B9" i="4"/>
  <c r="B10" i="4"/>
  <c r="B11" i="4"/>
  <c r="B12" i="4"/>
  <c r="B13" i="4"/>
  <c r="B14" i="4"/>
  <c r="B15" i="4"/>
  <c r="C15" i="4" s="1"/>
  <c r="B16" i="4"/>
  <c r="C16" i="4" s="1"/>
  <c r="B17" i="4"/>
  <c r="C17" i="4" s="1"/>
  <c r="B18" i="4"/>
  <c r="C18" i="4" s="1"/>
  <c r="B19" i="4"/>
  <c r="C19" i="4" s="1"/>
  <c r="B20" i="4"/>
  <c r="B21" i="4"/>
  <c r="B1" i="3"/>
  <c r="B2" i="3"/>
  <c r="B4" i="3"/>
  <c r="B3" i="3"/>
  <c r="E2" i="2"/>
  <c r="F2" i="2"/>
  <c r="G2" i="2"/>
  <c r="C2" i="2"/>
  <c r="E1" i="2"/>
  <c r="F1" i="2"/>
  <c r="G1" i="2"/>
  <c r="C1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G175" i="5" l="1"/>
  <c r="G91" i="5"/>
  <c r="G90" i="5"/>
  <c r="G5" i="5"/>
  <c r="I217" i="5"/>
  <c r="I229" i="5"/>
  <c r="I162" i="5"/>
  <c r="I222" i="5"/>
  <c r="I210" i="5"/>
  <c r="I186" i="5"/>
  <c r="I138" i="5"/>
  <c r="I126" i="5"/>
  <c r="I114" i="5"/>
  <c r="I102" i="5"/>
  <c r="I78" i="5"/>
  <c r="I54" i="5"/>
  <c r="I30" i="5"/>
  <c r="I6" i="5"/>
  <c r="I209" i="5"/>
  <c r="I185" i="5"/>
  <c r="I161" i="5"/>
  <c r="I149" i="5"/>
  <c r="I125" i="5"/>
  <c r="I113" i="5"/>
  <c r="I101" i="5"/>
  <c r="I89" i="5"/>
  <c r="I220" i="5"/>
  <c r="I208" i="5"/>
  <c r="I196" i="5"/>
  <c r="I184" i="5"/>
  <c r="I172" i="5"/>
  <c r="I160" i="5"/>
  <c r="I148" i="5"/>
  <c r="I136" i="5"/>
  <c r="I124" i="5"/>
  <c r="I112" i="5"/>
  <c r="I100" i="5"/>
  <c r="I88" i="5"/>
  <c r="I76" i="5"/>
  <c r="I64" i="5"/>
  <c r="I52" i="5"/>
  <c r="I40" i="5"/>
  <c r="I66" i="5"/>
  <c r="I17" i="5"/>
  <c r="I198" i="5"/>
  <c r="I150" i="5"/>
  <c r="I42" i="5"/>
  <c r="I18" i="5"/>
  <c r="I221" i="5"/>
  <c r="I197" i="5"/>
  <c r="I173" i="5"/>
  <c r="I137" i="5"/>
  <c r="I65" i="5"/>
  <c r="I53" i="5"/>
  <c r="I41" i="5"/>
  <c r="I29" i="5"/>
  <c r="I174" i="5"/>
  <c r="I28" i="5"/>
  <c r="I16" i="5"/>
  <c r="I4" i="5"/>
  <c r="I231" i="5"/>
  <c r="I219" i="5"/>
  <c r="I207" i="5"/>
  <c r="I195" i="5"/>
  <c r="I183" i="5"/>
  <c r="I171" i="5"/>
  <c r="I159" i="5"/>
  <c r="I147" i="5"/>
  <c r="I135" i="5"/>
  <c r="I123" i="5"/>
  <c r="I111" i="5"/>
  <c r="I99" i="5"/>
  <c r="I87" i="5"/>
  <c r="I75" i="5"/>
  <c r="I63" i="5"/>
  <c r="I51" i="5"/>
  <c r="I39" i="5"/>
  <c r="I27" i="5"/>
  <c r="I15" i="5"/>
  <c r="I3" i="5"/>
  <c r="I230" i="5"/>
  <c r="I218" i="5"/>
  <c r="I206" i="5"/>
  <c r="I194" i="5"/>
  <c r="I182" i="5"/>
  <c r="I170" i="5"/>
  <c r="I158" i="5"/>
  <c r="I146" i="5"/>
  <c r="I134" i="5"/>
  <c r="I122" i="5"/>
  <c r="I110" i="5"/>
  <c r="I98" i="5"/>
  <c r="I86" i="5"/>
  <c r="I74" i="5"/>
  <c r="I62" i="5"/>
  <c r="I50" i="5"/>
  <c r="I38" i="5"/>
  <c r="I26" i="5"/>
  <c r="I14" i="5"/>
  <c r="I2" i="5"/>
  <c r="I21" i="5"/>
  <c r="I45" i="5"/>
  <c r="I69" i="5"/>
  <c r="I93" i="5"/>
  <c r="I129" i="5"/>
  <c r="I153" i="5"/>
  <c r="I177" i="5"/>
  <c r="I201" i="5"/>
  <c r="I22" i="5"/>
  <c r="I202" i="5"/>
  <c r="I23" i="5"/>
  <c r="I215" i="5"/>
  <c r="I12" i="5"/>
  <c r="I60" i="5"/>
  <c r="I72" i="5"/>
  <c r="I96" i="5"/>
  <c r="I120" i="5"/>
  <c r="I144" i="5"/>
  <c r="I168" i="5"/>
  <c r="I192" i="5"/>
  <c r="I216" i="5"/>
  <c r="I33" i="5"/>
  <c r="I213" i="5"/>
  <c r="I34" i="5"/>
  <c r="I46" i="5"/>
  <c r="I58" i="5"/>
  <c r="I70" i="5"/>
  <c r="I82" i="5"/>
  <c r="I94" i="5"/>
  <c r="I106" i="5"/>
  <c r="I118" i="5"/>
  <c r="I130" i="5"/>
  <c r="I142" i="5"/>
  <c r="I154" i="5"/>
  <c r="I166" i="5"/>
  <c r="I178" i="5"/>
  <c r="I214" i="5"/>
  <c r="I226" i="5"/>
  <c r="I35" i="5"/>
  <c r="I47" i="5"/>
  <c r="I59" i="5"/>
  <c r="I71" i="5"/>
  <c r="I83" i="5"/>
  <c r="I95" i="5"/>
  <c r="I107" i="5"/>
  <c r="I119" i="5"/>
  <c r="I131" i="5"/>
  <c r="I143" i="5"/>
  <c r="I155" i="5"/>
  <c r="I167" i="5"/>
  <c r="I179" i="5"/>
  <c r="I191" i="5"/>
  <c r="I227" i="5"/>
  <c r="I36" i="5"/>
  <c r="I37" i="5"/>
  <c r="I49" i="5"/>
  <c r="I61" i="5"/>
  <c r="I73" i="5"/>
  <c r="I85" i="5"/>
  <c r="I97" i="5"/>
  <c r="I109" i="5"/>
  <c r="I121" i="5"/>
  <c r="I133" i="5"/>
  <c r="I145" i="5"/>
  <c r="I157" i="5"/>
  <c r="I169" i="5"/>
  <c r="I181" i="5"/>
  <c r="I193" i="5"/>
  <c r="I9" i="5"/>
  <c r="I57" i="5"/>
  <c r="I81" i="5"/>
  <c r="I105" i="5"/>
  <c r="I117" i="5"/>
  <c r="I141" i="5"/>
  <c r="I165" i="5"/>
  <c r="I189" i="5"/>
  <c r="I225" i="5"/>
  <c r="I10" i="5"/>
  <c r="I190" i="5"/>
  <c r="I11" i="5"/>
  <c r="I203" i="5"/>
  <c r="I24" i="5"/>
  <c r="I48" i="5"/>
  <c r="I84" i="5"/>
  <c r="I108" i="5"/>
  <c r="I132" i="5"/>
  <c r="I156" i="5"/>
  <c r="I180" i="5"/>
  <c r="I204" i="5"/>
  <c r="I228" i="5"/>
  <c r="I212" i="5"/>
  <c r="I164" i="5"/>
  <c r="I68" i="5"/>
  <c r="I205" i="5"/>
  <c r="I224" i="5"/>
  <c r="I200" i="5"/>
  <c r="I188" i="5"/>
  <c r="I176" i="5"/>
  <c r="I152" i="5"/>
  <c r="I140" i="5"/>
  <c r="I128" i="5"/>
  <c r="I116" i="5"/>
  <c r="I104" i="5"/>
  <c r="I92" i="5"/>
  <c r="I80" i="5"/>
  <c r="I56" i="5"/>
  <c r="I44" i="5"/>
  <c r="I32" i="5"/>
  <c r="I20" i="5"/>
  <c r="I8" i="5"/>
  <c r="I25" i="5"/>
  <c r="I223" i="5"/>
  <c r="I211" i="5"/>
  <c r="I199" i="5"/>
  <c r="I187" i="5"/>
  <c r="I163" i="5"/>
  <c r="I151" i="5"/>
  <c r="I139" i="5"/>
  <c r="I127" i="5"/>
  <c r="I115" i="5"/>
  <c r="I103" i="5"/>
  <c r="I79" i="5"/>
  <c r="I67" i="5"/>
  <c r="I55" i="5"/>
  <c r="I43" i="5"/>
  <c r="I31" i="5"/>
  <c r="I19" i="5"/>
  <c r="I7" i="5"/>
  <c r="I13" i="5"/>
  <c r="I175" i="5"/>
  <c r="I91" i="5"/>
  <c r="I90" i="5"/>
  <c r="G142" i="5"/>
  <c r="G34" i="5"/>
  <c r="I77" i="5"/>
  <c r="I5" i="5"/>
  <c r="G177" i="5"/>
  <c r="G170" i="5"/>
  <c r="G98" i="5"/>
  <c r="G26" i="5"/>
  <c r="G97" i="5"/>
  <c r="G171" i="5"/>
  <c r="G149" i="5"/>
  <c r="G218" i="5"/>
  <c r="G194" i="5"/>
  <c r="G134" i="5"/>
  <c r="G110" i="5"/>
  <c r="G86" i="5"/>
  <c r="G50" i="5"/>
  <c r="G14" i="5"/>
  <c r="G220" i="5"/>
  <c r="G160" i="5"/>
  <c r="G88" i="5"/>
  <c r="G40" i="5"/>
  <c r="G4" i="5"/>
  <c r="G3" i="5"/>
  <c r="G197" i="5"/>
  <c r="G173" i="5"/>
  <c r="G113" i="5"/>
  <c r="G206" i="5"/>
  <c r="G182" i="5"/>
  <c r="G158" i="5"/>
  <c r="G146" i="5"/>
  <c r="G122" i="5"/>
  <c r="G74" i="5"/>
  <c r="G62" i="5"/>
  <c r="G38" i="5"/>
  <c r="G2" i="5"/>
  <c r="G184" i="5"/>
  <c r="G172" i="5"/>
  <c r="G148" i="5"/>
  <c r="G100" i="5"/>
  <c r="G76" i="5"/>
  <c r="G28" i="5"/>
  <c r="G16" i="5"/>
  <c r="G231" i="5"/>
  <c r="G135" i="5"/>
  <c r="G63" i="5"/>
  <c r="G39" i="5"/>
  <c r="H222" i="5"/>
  <c r="G138" i="5"/>
  <c r="H137" i="5"/>
  <c r="H171" i="5"/>
  <c r="H136" i="5"/>
  <c r="G112" i="5"/>
  <c r="H135" i="5"/>
  <c r="G27" i="5"/>
  <c r="G230" i="5"/>
  <c r="G229" i="5"/>
  <c r="G217" i="5"/>
  <c r="G205" i="5"/>
  <c r="G193" i="5"/>
  <c r="G169" i="5"/>
  <c r="G121" i="5"/>
  <c r="G85" i="5"/>
  <c r="G61" i="5"/>
  <c r="G25" i="5"/>
  <c r="G226" i="5"/>
  <c r="G214" i="5"/>
  <c r="G190" i="5"/>
  <c r="G154" i="5"/>
  <c r="G118" i="5"/>
  <c r="G82" i="5"/>
  <c r="G58" i="5"/>
  <c r="G228" i="5"/>
  <c r="G216" i="5"/>
  <c r="H204" i="5"/>
  <c r="G192" i="5"/>
  <c r="H168" i="5"/>
  <c r="G156" i="5"/>
  <c r="H120" i="5"/>
  <c r="H96" i="5"/>
  <c r="G60" i="5"/>
  <c r="H138" i="5"/>
  <c r="G174" i="5"/>
  <c r="G219" i="5"/>
  <c r="G207" i="5"/>
  <c r="G183" i="5"/>
  <c r="G159" i="5"/>
  <c r="G147" i="5"/>
  <c r="G111" i="5"/>
  <c r="G99" i="5"/>
  <c r="G87" i="5"/>
  <c r="G75" i="5"/>
  <c r="G15" i="5"/>
  <c r="G221" i="5"/>
  <c r="G185" i="5"/>
  <c r="G161" i="5"/>
  <c r="G125" i="5"/>
  <c r="G101" i="5"/>
  <c r="G89" i="5"/>
  <c r="G53" i="5"/>
  <c r="G41" i="5"/>
  <c r="G29" i="5"/>
  <c r="G17" i="5"/>
  <c r="H213" i="5"/>
  <c r="G213" i="5"/>
  <c r="H189" i="5"/>
  <c r="G189" i="5"/>
  <c r="G165" i="5"/>
  <c r="H165" i="5"/>
  <c r="H141" i="5"/>
  <c r="G141" i="5"/>
  <c r="H117" i="5"/>
  <c r="G93" i="5"/>
  <c r="H69" i="5"/>
  <c r="G69" i="5"/>
  <c r="H45" i="5"/>
  <c r="G45" i="5"/>
  <c r="H33" i="5"/>
  <c r="H9" i="5"/>
  <c r="G9" i="5"/>
  <c r="G33" i="5"/>
  <c r="G224" i="5"/>
  <c r="H224" i="5"/>
  <c r="G212" i="5"/>
  <c r="H212" i="5"/>
  <c r="G200" i="5"/>
  <c r="H200" i="5"/>
  <c r="G188" i="5"/>
  <c r="H188" i="5"/>
  <c r="G176" i="5"/>
  <c r="H176" i="5"/>
  <c r="G164" i="5"/>
  <c r="H164" i="5"/>
  <c r="G152" i="5"/>
  <c r="H152" i="5"/>
  <c r="G140" i="5"/>
  <c r="H140" i="5"/>
  <c r="G128" i="5"/>
  <c r="H128" i="5"/>
  <c r="G116" i="5"/>
  <c r="H116" i="5"/>
  <c r="G104" i="5"/>
  <c r="H104" i="5"/>
  <c r="G92" i="5"/>
  <c r="G80" i="5"/>
  <c r="H80" i="5"/>
  <c r="G68" i="5"/>
  <c r="H68" i="5"/>
  <c r="G56" i="5"/>
  <c r="G44" i="5"/>
  <c r="H44" i="5"/>
  <c r="G32" i="5"/>
  <c r="H32" i="5"/>
  <c r="G20" i="5"/>
  <c r="H20" i="5"/>
  <c r="H8" i="5"/>
  <c r="G8" i="5"/>
  <c r="G84" i="5"/>
  <c r="H84" i="5"/>
  <c r="G225" i="5"/>
  <c r="H225" i="5"/>
  <c r="G201" i="5"/>
  <c r="H201" i="5"/>
  <c r="H177" i="5"/>
  <c r="G153" i="5"/>
  <c r="H153" i="5"/>
  <c r="H129" i="5"/>
  <c r="G129" i="5"/>
  <c r="H105" i="5"/>
  <c r="G105" i="5"/>
  <c r="G81" i="5"/>
  <c r="H81" i="5"/>
  <c r="G57" i="5"/>
  <c r="G21" i="5"/>
  <c r="H21" i="5"/>
  <c r="G223" i="5"/>
  <c r="H223" i="5"/>
  <c r="H211" i="5"/>
  <c r="G211" i="5"/>
  <c r="H199" i="5"/>
  <c r="H187" i="5"/>
  <c r="G187" i="5"/>
  <c r="H175" i="5"/>
  <c r="G163" i="5"/>
  <c r="H163" i="5"/>
  <c r="G151" i="5"/>
  <c r="H151" i="5"/>
  <c r="H139" i="5"/>
  <c r="G139" i="5"/>
  <c r="H127" i="5"/>
  <c r="G127" i="5"/>
  <c r="H115" i="5"/>
  <c r="H103" i="5"/>
  <c r="G103" i="5"/>
  <c r="G79" i="5"/>
  <c r="H79" i="5"/>
  <c r="H67" i="5"/>
  <c r="G67" i="5"/>
  <c r="G55" i="5"/>
  <c r="H43" i="5"/>
  <c r="G43" i="5"/>
  <c r="H31" i="5"/>
  <c r="G31" i="5"/>
  <c r="H19" i="5"/>
  <c r="G19" i="5"/>
  <c r="H7" i="5"/>
  <c r="G7" i="5"/>
  <c r="G222" i="5"/>
  <c r="G210" i="5"/>
  <c r="H210" i="5"/>
  <c r="H198" i="5"/>
  <c r="H186" i="5"/>
  <c r="G186" i="5"/>
  <c r="H162" i="5"/>
  <c r="G162" i="5"/>
  <c r="G150" i="5"/>
  <c r="H150" i="5"/>
  <c r="H126" i="5"/>
  <c r="G126" i="5"/>
  <c r="H114" i="5"/>
  <c r="G114" i="5"/>
  <c r="H102" i="5"/>
  <c r="G102" i="5"/>
  <c r="H90" i="5"/>
  <c r="G78" i="5"/>
  <c r="H78" i="5"/>
  <c r="G66" i="5"/>
  <c r="H66" i="5"/>
  <c r="H54" i="5"/>
  <c r="G54" i="5"/>
  <c r="G42" i="5"/>
  <c r="H42" i="5"/>
  <c r="G30" i="5"/>
  <c r="H30" i="5"/>
  <c r="H18" i="5"/>
  <c r="G18" i="5"/>
  <c r="H6" i="5"/>
  <c r="G6" i="5"/>
  <c r="G120" i="5"/>
  <c r="H221" i="5"/>
  <c r="H93" i="5"/>
  <c r="H5" i="5"/>
  <c r="H220" i="5"/>
  <c r="H92" i="5"/>
  <c r="G117" i="5"/>
  <c r="H219" i="5"/>
  <c r="H91" i="5"/>
  <c r="G115" i="5"/>
  <c r="H174" i="5"/>
  <c r="H60" i="5"/>
  <c r="H173" i="5"/>
  <c r="H57" i="5"/>
  <c r="G199" i="5"/>
  <c r="H172" i="5"/>
  <c r="H56" i="5"/>
  <c r="G198" i="5"/>
  <c r="H55" i="5"/>
  <c r="H14" i="5"/>
  <c r="H26" i="5"/>
  <c r="H38" i="5"/>
  <c r="H50" i="5"/>
  <c r="H62" i="5"/>
  <c r="H74" i="5"/>
  <c r="H86" i="5"/>
  <c r="H98" i="5"/>
  <c r="H110" i="5"/>
  <c r="H122" i="5"/>
  <c r="H134" i="5"/>
  <c r="H146" i="5"/>
  <c r="H158" i="5"/>
  <c r="H170" i="5"/>
  <c r="H182" i="5"/>
  <c r="H194" i="5"/>
  <c r="H206" i="5"/>
  <c r="H218" i="5"/>
  <c r="H230" i="5"/>
  <c r="H17" i="5"/>
  <c r="H53" i="5"/>
  <c r="H89" i="5"/>
  <c r="H125" i="5"/>
  <c r="H161" i="5"/>
  <c r="H197" i="5"/>
  <c r="H75" i="5"/>
  <c r="H99" i="5"/>
  <c r="H183" i="5"/>
  <c r="H207" i="5"/>
  <c r="H77" i="5"/>
  <c r="H101" i="5"/>
  <c r="H185" i="5"/>
  <c r="H76" i="5"/>
  <c r="H100" i="5"/>
  <c r="H184" i="5"/>
  <c r="H208" i="5"/>
  <c r="H209" i="5"/>
  <c r="H41" i="5"/>
  <c r="H40" i="5"/>
  <c r="H39" i="5"/>
  <c r="H229" i="5"/>
  <c r="H217" i="5"/>
  <c r="H205" i="5"/>
  <c r="H193" i="5"/>
  <c r="H181" i="5"/>
  <c r="G181" i="5"/>
  <c r="H169" i="5"/>
  <c r="H157" i="5"/>
  <c r="H145" i="5"/>
  <c r="G145" i="5"/>
  <c r="H133" i="5"/>
  <c r="H121" i="5"/>
  <c r="H109" i="5"/>
  <c r="G109" i="5"/>
  <c r="H97" i="5"/>
  <c r="H85" i="5"/>
  <c r="H73" i="5"/>
  <c r="H61" i="5"/>
  <c r="H49" i="5"/>
  <c r="G49" i="5"/>
  <c r="H37" i="5"/>
  <c r="G37" i="5"/>
  <c r="H25" i="5"/>
  <c r="H13" i="5"/>
  <c r="G13" i="5"/>
  <c r="H228" i="5"/>
  <c r="H192" i="5"/>
  <c r="H216" i="5"/>
  <c r="G204" i="5"/>
  <c r="G180" i="5"/>
  <c r="H180" i="5"/>
  <c r="G168" i="5"/>
  <c r="H156" i="5"/>
  <c r="H144" i="5"/>
  <c r="G144" i="5"/>
  <c r="H132" i="5"/>
  <c r="G108" i="5"/>
  <c r="H108" i="5"/>
  <c r="G96" i="5"/>
  <c r="H72" i="5"/>
  <c r="G72" i="5"/>
  <c r="H48" i="5"/>
  <c r="G48" i="5"/>
  <c r="G36" i="5"/>
  <c r="H36" i="5"/>
  <c r="G24" i="5"/>
  <c r="H24" i="5"/>
  <c r="H12" i="5"/>
  <c r="G12" i="5"/>
  <c r="G133" i="5"/>
  <c r="H149" i="5"/>
  <c r="H113" i="5"/>
  <c r="H65" i="5"/>
  <c r="H29" i="5"/>
  <c r="H227" i="5"/>
  <c r="G227" i="5"/>
  <c r="H215" i="5"/>
  <c r="G215" i="5"/>
  <c r="H203" i="5"/>
  <c r="G203" i="5"/>
  <c r="H191" i="5"/>
  <c r="G191" i="5"/>
  <c r="H179" i="5"/>
  <c r="G179" i="5"/>
  <c r="H167" i="5"/>
  <c r="G167" i="5"/>
  <c r="H155" i="5"/>
  <c r="G155" i="5"/>
  <c r="H143" i="5"/>
  <c r="G143" i="5"/>
  <c r="H131" i="5"/>
  <c r="G131" i="5"/>
  <c r="H119" i="5"/>
  <c r="G119" i="5"/>
  <c r="H107" i="5"/>
  <c r="G107" i="5"/>
  <c r="H95" i="5"/>
  <c r="G95" i="5"/>
  <c r="H83" i="5"/>
  <c r="G83" i="5"/>
  <c r="H71" i="5"/>
  <c r="G71" i="5"/>
  <c r="H59" i="5"/>
  <c r="G59" i="5"/>
  <c r="H47" i="5"/>
  <c r="G47" i="5"/>
  <c r="H35" i="5"/>
  <c r="G35" i="5"/>
  <c r="H23" i="5"/>
  <c r="G23" i="5"/>
  <c r="H11" i="5"/>
  <c r="G11" i="5"/>
  <c r="G132" i="5"/>
  <c r="H148" i="5"/>
  <c r="H112" i="5"/>
  <c r="H64" i="5"/>
  <c r="H28" i="5"/>
  <c r="H226" i="5"/>
  <c r="H214" i="5"/>
  <c r="H202" i="5"/>
  <c r="G202" i="5"/>
  <c r="H190" i="5"/>
  <c r="H178" i="5"/>
  <c r="H166" i="5"/>
  <c r="G166" i="5"/>
  <c r="H154" i="5"/>
  <c r="H142" i="5"/>
  <c r="H130" i="5"/>
  <c r="H118" i="5"/>
  <c r="H106" i="5"/>
  <c r="G106" i="5"/>
  <c r="H94" i="5"/>
  <c r="G94" i="5"/>
  <c r="H82" i="5"/>
  <c r="H70" i="5"/>
  <c r="G70" i="5"/>
  <c r="H58" i="5"/>
  <c r="H46" i="5"/>
  <c r="G46" i="5"/>
  <c r="H34" i="5"/>
  <c r="H22" i="5"/>
  <c r="G22" i="5"/>
  <c r="H10" i="5"/>
  <c r="G10" i="5"/>
  <c r="G178" i="5"/>
  <c r="G157" i="5"/>
  <c r="G130" i="5"/>
  <c r="G73" i="5"/>
  <c r="H147" i="5"/>
  <c r="H111" i="5"/>
  <c r="H63" i="5"/>
  <c r="H27" i="5"/>
  <c r="G208" i="5"/>
  <c r="G196" i="5"/>
  <c r="G136" i="5"/>
  <c r="H88" i="5"/>
  <c r="H52" i="5"/>
  <c r="H16" i="5"/>
  <c r="H231" i="5"/>
  <c r="H195" i="5"/>
  <c r="H159" i="5"/>
  <c r="H123" i="5"/>
  <c r="H87" i="5"/>
  <c r="H51" i="5"/>
  <c r="H15" i="5"/>
  <c r="G209" i="5"/>
  <c r="G137" i="5"/>
  <c r="G65" i="5"/>
  <c r="H160" i="5"/>
  <c r="G124" i="5"/>
  <c r="G64" i="5"/>
  <c r="G52" i="5"/>
  <c r="G195" i="5"/>
  <c r="G123" i="5"/>
  <c r="G51" i="5"/>
  <c r="H196" i="5"/>
  <c r="H124" i="5"/>
  <c r="H4" i="5"/>
  <c r="H3" i="5"/>
  <c r="H2" i="5"/>
  <c r="C68" i="4"/>
  <c r="C79" i="4"/>
  <c r="C61" i="4"/>
  <c r="C65" i="4"/>
  <c r="C100" i="4"/>
  <c r="C77" i="4"/>
  <c r="C48" i="4"/>
  <c r="C36" i="4"/>
  <c r="C6" i="4"/>
  <c r="C22" i="4"/>
  <c r="D60" i="4"/>
  <c r="D82" i="4"/>
  <c r="D51" i="4"/>
  <c r="D20" i="4"/>
  <c r="C64" i="4"/>
  <c r="C55" i="4"/>
  <c r="C43" i="4"/>
  <c r="C31" i="4"/>
  <c r="C99" i="4"/>
  <c r="D81" i="4"/>
  <c r="D49" i="4"/>
  <c r="D2" i="4"/>
  <c r="D99" i="4"/>
  <c r="D75" i="4"/>
  <c r="D48" i="4"/>
  <c r="D12" i="4"/>
  <c r="D97" i="4"/>
  <c r="D73" i="4"/>
  <c r="D47" i="4"/>
  <c r="D11" i="4"/>
  <c r="C21" i="4"/>
  <c r="C9" i="4"/>
  <c r="C87" i="4"/>
  <c r="C78" i="4"/>
  <c r="D96" i="4"/>
  <c r="D72" i="4"/>
  <c r="D39" i="4"/>
  <c r="D10" i="4"/>
  <c r="D22" i="4"/>
  <c r="C91" i="4"/>
  <c r="C74" i="4"/>
  <c r="D91" i="4"/>
  <c r="D79" i="4"/>
  <c r="D67" i="4"/>
  <c r="D55" i="4"/>
  <c r="D43" i="4"/>
  <c r="D31" i="4"/>
  <c r="D19" i="4"/>
  <c r="D7" i="4"/>
  <c r="D46" i="4"/>
  <c r="C54" i="4"/>
  <c r="C98" i="4"/>
  <c r="D57" i="4"/>
  <c r="D9" i="4"/>
  <c r="C2" i="4"/>
  <c r="C41" i="4"/>
  <c r="C97" i="4"/>
  <c r="D80" i="4"/>
  <c r="D56" i="4"/>
  <c r="C28" i="4"/>
  <c r="C51" i="4"/>
  <c r="C39" i="4"/>
  <c r="C90" i="4"/>
  <c r="C73" i="4"/>
  <c r="D90" i="4"/>
  <c r="D78" i="4"/>
  <c r="D66" i="4"/>
  <c r="D54" i="4"/>
  <c r="D42" i="4"/>
  <c r="D30" i="4"/>
  <c r="D18" i="4"/>
  <c r="D6" i="4"/>
  <c r="D33" i="4"/>
  <c r="D32" i="4"/>
  <c r="C52" i="4"/>
  <c r="C11" i="4"/>
  <c r="C27" i="4"/>
  <c r="C50" i="4"/>
  <c r="C38" i="4"/>
  <c r="C89" i="4"/>
  <c r="C67" i="4"/>
  <c r="C96" i="4"/>
  <c r="C84" i="4"/>
  <c r="C72" i="4"/>
  <c r="D101" i="4"/>
  <c r="D89" i="4"/>
  <c r="D77" i="4"/>
  <c r="D65" i="4"/>
  <c r="D53" i="4"/>
  <c r="D41" i="4"/>
  <c r="D29" i="4"/>
  <c r="D17" i="4"/>
  <c r="D5" i="4"/>
  <c r="D34" i="4"/>
  <c r="C42" i="4"/>
  <c r="C76" i="4"/>
  <c r="D45" i="4"/>
  <c r="D21" i="4"/>
  <c r="C14" i="4"/>
  <c r="C53" i="4"/>
  <c r="C75" i="4"/>
  <c r="D92" i="4"/>
  <c r="D68" i="4"/>
  <c r="D44" i="4"/>
  <c r="C13" i="4"/>
  <c r="C29" i="4"/>
  <c r="C40" i="4"/>
  <c r="C12" i="4"/>
  <c r="C10" i="4"/>
  <c r="C26" i="4"/>
  <c r="C49" i="4"/>
  <c r="C37" i="4"/>
  <c r="C25" i="4"/>
  <c r="C88" i="4"/>
  <c r="C66" i="4"/>
  <c r="C95" i="4"/>
  <c r="C83" i="4"/>
  <c r="C71" i="4"/>
  <c r="D100" i="4"/>
  <c r="D88" i="4"/>
  <c r="D76" i="4"/>
  <c r="D64" i="4"/>
  <c r="D52" i="4"/>
  <c r="D40" i="4"/>
  <c r="D28" i="4"/>
  <c r="D16" i="4"/>
  <c r="D4" i="4"/>
  <c r="D3" i="4"/>
  <c r="D58" i="4"/>
  <c r="C24" i="4"/>
  <c r="C94" i="4"/>
  <c r="C82" i="4"/>
  <c r="C70" i="4"/>
  <c r="D15" i="4"/>
  <c r="C20" i="4"/>
  <c r="C8" i="4"/>
  <c r="C59" i="4"/>
  <c r="C35" i="4"/>
  <c r="C23" i="4"/>
  <c r="C86" i="4"/>
  <c r="C93" i="4"/>
  <c r="C81" i="4"/>
  <c r="C69" i="4"/>
  <c r="D98" i="4"/>
  <c r="D86" i="4"/>
  <c r="D74" i="4"/>
  <c r="D62" i="4"/>
  <c r="D50" i="4"/>
  <c r="D38" i="4"/>
  <c r="D26" i="4"/>
  <c r="D14" i="4"/>
  <c r="D2" i="2"/>
  <c r="D1" i="2"/>
  <c r="K63" i="5" l="1"/>
  <c r="K59" i="5"/>
  <c r="K25" i="5"/>
  <c r="K38" i="5"/>
  <c r="K43" i="5"/>
  <c r="K96" i="5"/>
  <c r="K123" i="5"/>
  <c r="K111" i="5"/>
  <c r="K46" i="5"/>
  <c r="K154" i="5"/>
  <c r="K148" i="5"/>
  <c r="K144" i="5"/>
  <c r="K41" i="5"/>
  <c r="K75" i="5"/>
  <c r="K170" i="5"/>
  <c r="K26" i="5"/>
  <c r="K91" i="5"/>
  <c r="K18" i="5"/>
  <c r="K198" i="5"/>
  <c r="K151" i="5"/>
  <c r="K21" i="5"/>
  <c r="K201" i="5"/>
  <c r="K44" i="5"/>
  <c r="K128" i="5"/>
  <c r="K200" i="5"/>
  <c r="K120" i="5"/>
  <c r="K159" i="5"/>
  <c r="K147" i="5"/>
  <c r="K58" i="5"/>
  <c r="K71" i="5"/>
  <c r="K143" i="5"/>
  <c r="K215" i="5"/>
  <c r="K36" i="5"/>
  <c r="K156" i="5"/>
  <c r="K37" i="5"/>
  <c r="K145" i="5"/>
  <c r="K209" i="5"/>
  <c r="K197" i="5"/>
  <c r="K158" i="5"/>
  <c r="K14" i="5"/>
  <c r="K219" i="5"/>
  <c r="K30" i="5"/>
  <c r="K102" i="5"/>
  <c r="K210" i="5"/>
  <c r="K69" i="5"/>
  <c r="K135" i="5"/>
  <c r="K161" i="5"/>
  <c r="K146" i="5"/>
  <c r="K55" i="5"/>
  <c r="K67" i="5"/>
  <c r="K163" i="5"/>
  <c r="K225" i="5"/>
  <c r="K140" i="5"/>
  <c r="K212" i="5"/>
  <c r="K168" i="5"/>
  <c r="K137" i="5"/>
  <c r="K87" i="5"/>
  <c r="K112" i="5"/>
  <c r="K131" i="5"/>
  <c r="K24" i="5"/>
  <c r="K133" i="5"/>
  <c r="K99" i="5"/>
  <c r="K182" i="5"/>
  <c r="K186" i="5"/>
  <c r="K139" i="5"/>
  <c r="K45" i="5"/>
  <c r="K213" i="5"/>
  <c r="K195" i="5"/>
  <c r="K166" i="5"/>
  <c r="K208" i="5"/>
  <c r="K231" i="5"/>
  <c r="K70" i="5"/>
  <c r="K11" i="5"/>
  <c r="K83" i="5"/>
  <c r="K227" i="5"/>
  <c r="K49" i="5"/>
  <c r="K169" i="5"/>
  <c r="K125" i="5"/>
  <c r="K134" i="5"/>
  <c r="K42" i="5"/>
  <c r="K79" i="5"/>
  <c r="K81" i="5"/>
  <c r="K68" i="5"/>
  <c r="K136" i="5"/>
  <c r="K16" i="5"/>
  <c r="K82" i="5"/>
  <c r="K48" i="5"/>
  <c r="K89" i="5"/>
  <c r="K5" i="5"/>
  <c r="K7" i="5"/>
  <c r="K80" i="5"/>
  <c r="K141" i="5"/>
  <c r="K2" i="5"/>
  <c r="K88" i="5"/>
  <c r="K202" i="5"/>
  <c r="K72" i="5"/>
  <c r="K216" i="5"/>
  <c r="K193" i="5"/>
  <c r="K185" i="5"/>
  <c r="K98" i="5"/>
  <c r="K93" i="5"/>
  <c r="K150" i="5"/>
  <c r="K103" i="5"/>
  <c r="K105" i="5"/>
  <c r="K165" i="5"/>
  <c r="K3" i="5"/>
  <c r="K214" i="5"/>
  <c r="K35" i="5"/>
  <c r="K107" i="5"/>
  <c r="K149" i="5"/>
  <c r="K97" i="5"/>
  <c r="K205" i="5"/>
  <c r="K230" i="5"/>
  <c r="K86" i="5"/>
  <c r="K221" i="5"/>
  <c r="K66" i="5"/>
  <c r="K115" i="5"/>
  <c r="K8" i="5"/>
  <c r="K222" i="5"/>
  <c r="K4" i="5"/>
  <c r="K106" i="5"/>
  <c r="K226" i="5"/>
  <c r="K108" i="5"/>
  <c r="K228" i="5"/>
  <c r="K217" i="5"/>
  <c r="K77" i="5"/>
  <c r="K218" i="5"/>
  <c r="K74" i="5"/>
  <c r="K173" i="5"/>
  <c r="K129" i="5"/>
  <c r="K20" i="5"/>
  <c r="K104" i="5"/>
  <c r="K176" i="5"/>
  <c r="K9" i="5"/>
  <c r="K124" i="5"/>
  <c r="K15" i="5"/>
  <c r="K22" i="5"/>
  <c r="K118" i="5"/>
  <c r="K28" i="5"/>
  <c r="K47" i="5"/>
  <c r="K119" i="5"/>
  <c r="K191" i="5"/>
  <c r="K109" i="5"/>
  <c r="K229" i="5"/>
  <c r="K207" i="5"/>
  <c r="K206" i="5"/>
  <c r="K62" i="5"/>
  <c r="K60" i="5"/>
  <c r="K78" i="5"/>
  <c r="K162" i="5"/>
  <c r="K31" i="5"/>
  <c r="K127" i="5"/>
  <c r="K211" i="5"/>
  <c r="K153" i="5"/>
  <c r="K33" i="5"/>
  <c r="K189" i="5"/>
  <c r="K138" i="5"/>
  <c r="K142" i="5"/>
  <c r="K203" i="5"/>
  <c r="K40" i="5"/>
  <c r="K90" i="5"/>
  <c r="K177" i="5"/>
  <c r="K157" i="5"/>
  <c r="K178" i="5"/>
  <c r="K155" i="5"/>
  <c r="K180" i="5"/>
  <c r="K184" i="5"/>
  <c r="K92" i="5"/>
  <c r="K114" i="5"/>
  <c r="K117" i="5"/>
  <c r="K190" i="5"/>
  <c r="K29" i="5"/>
  <c r="K61" i="5"/>
  <c r="K100" i="5"/>
  <c r="K122" i="5"/>
  <c r="K56" i="5"/>
  <c r="K220" i="5"/>
  <c r="K175" i="5"/>
  <c r="K84" i="5"/>
  <c r="K152" i="5"/>
  <c r="K224" i="5"/>
  <c r="K204" i="5"/>
  <c r="K171" i="5"/>
  <c r="K160" i="5"/>
  <c r="K52" i="5"/>
  <c r="K23" i="5"/>
  <c r="K95" i="5"/>
  <c r="K167" i="5"/>
  <c r="K65" i="5"/>
  <c r="K73" i="5"/>
  <c r="K181" i="5"/>
  <c r="K76" i="5"/>
  <c r="K53" i="5"/>
  <c r="K110" i="5"/>
  <c r="K172" i="5"/>
  <c r="K126" i="5"/>
  <c r="K94" i="5"/>
  <c r="K113" i="5"/>
  <c r="K85" i="5"/>
  <c r="K17" i="5"/>
  <c r="K54" i="5"/>
  <c r="K187" i="5"/>
  <c r="K164" i="5"/>
  <c r="K10" i="5"/>
  <c r="K179" i="5"/>
  <c r="K192" i="5"/>
  <c r="K101" i="5"/>
  <c r="K57" i="5"/>
  <c r="K19" i="5"/>
  <c r="K199" i="5"/>
  <c r="K196" i="5"/>
  <c r="K51" i="5"/>
  <c r="K27" i="5"/>
  <c r="K34" i="5"/>
  <c r="K130" i="5"/>
  <c r="K64" i="5"/>
  <c r="K12" i="5"/>
  <c r="K132" i="5"/>
  <c r="K13" i="5"/>
  <c r="K121" i="5"/>
  <c r="K39" i="5"/>
  <c r="K183" i="5"/>
  <c r="K194" i="5"/>
  <c r="K50" i="5"/>
  <c r="K174" i="5"/>
  <c r="K6" i="5"/>
  <c r="K223" i="5"/>
  <c r="K32" i="5"/>
  <c r="K116" i="5"/>
  <c r="K188" i="5"/>
</calcChain>
</file>

<file path=xl/sharedStrings.xml><?xml version="1.0" encoding="utf-8"?>
<sst xmlns="http://schemas.openxmlformats.org/spreadsheetml/2006/main" count="195" uniqueCount="91">
  <si>
    <t>PORTFOLIO SELECTION AND THE CAPITAL ASSET PRICING MODEL</t>
  </si>
  <si>
    <t>Security Monthly Return Data</t>
  </si>
  <si>
    <t>(returns in percent and for month indicated, not annualized)</t>
  </si>
  <si>
    <t>Short Name</t>
  </si>
  <si>
    <t>Name</t>
  </si>
  <si>
    <t>Description</t>
  </si>
  <si>
    <t>S&amp;P</t>
  </si>
  <si>
    <t>S&amp;P 500 Index</t>
  </si>
  <si>
    <t>Harris</t>
  </si>
  <si>
    <t>Harris Packaged Goods</t>
  </si>
  <si>
    <t>Producer of packaged food products that food chains brand with their own names</t>
  </si>
  <si>
    <t>Urban</t>
  </si>
  <si>
    <t>Urban Educational Products</t>
  </si>
  <si>
    <t>Small, young firm with good prospects developing educational products</t>
  </si>
  <si>
    <t>Maya</t>
  </si>
  <si>
    <t>Maya Medical Technologies</t>
  </si>
  <si>
    <t>Medium-size biotechnology firm</t>
  </si>
  <si>
    <t>Year</t>
  </si>
  <si>
    <t>Month</t>
  </si>
  <si>
    <t>Equally Weighted Portfolio</t>
  </si>
  <si>
    <t>AVERAGE</t>
  </si>
  <si>
    <t>STANDARD DEVIATION</t>
  </si>
  <si>
    <t>Convention</t>
  </si>
  <si>
    <t>All the input data is in black, the calculated data is in red</t>
  </si>
  <si>
    <t>Mean Returns</t>
  </si>
  <si>
    <t>Cov (Harris, Urban)</t>
  </si>
  <si>
    <t>Cov (Harris, Maya)</t>
  </si>
  <si>
    <t>Cov (Maya, Urban)</t>
  </si>
  <si>
    <t>Cov (S&amp;P, Equally Weighted Portfolio)</t>
  </si>
  <si>
    <t>Standard Deviation</t>
  </si>
  <si>
    <t>Let us plot the graph between Harris and Urban.</t>
  </si>
  <si>
    <t>HARRIS</t>
  </si>
  <si>
    <t>Avg returns</t>
  </si>
  <si>
    <t>Standard Deviations</t>
  </si>
  <si>
    <t>URBAN</t>
  </si>
  <si>
    <t>W1</t>
  </si>
  <si>
    <t>W2</t>
  </si>
  <si>
    <t>CORREL(Harris, Urban)</t>
  </si>
  <si>
    <t>Mean returns</t>
  </si>
  <si>
    <t>w1</t>
  </si>
  <si>
    <t>w2</t>
  </si>
  <si>
    <t>w3</t>
  </si>
  <si>
    <t>V1</t>
  </si>
  <si>
    <t>V2</t>
  </si>
  <si>
    <t>V3</t>
  </si>
  <si>
    <t>total</t>
  </si>
  <si>
    <t>MAYA</t>
  </si>
  <si>
    <t>NOTE : I used a macro to fill the weight combinations</t>
  </si>
  <si>
    <t>STEP 3</t>
  </si>
  <si>
    <t>Capital Market Line Returns</t>
  </si>
  <si>
    <t>Risk free rate</t>
  </si>
  <si>
    <t>STEP 4</t>
  </si>
  <si>
    <t>Regression for Harris and S&amp;P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</si>
  <si>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</si>
  <si>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</si>
  <si>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</si>
  <si>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</si>
  <si>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</si>
  <si>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</si>
  <si>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</si>
  <si>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</si>
  <si>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</si>
  <si>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</si>
  <si>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</si>
  <si>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</si>
  <si>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</si>
  <si>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</si>
  <si>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</si>
  <si>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</si>
  <si>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</si>
  <si>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</si>
  <si>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</si>
  <si>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</si>
  <si>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</si>
  <si>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</si>
  <si>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</si>
  <si>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</si>
  <si>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Regression for Urban and S&amp;P</t>
  </si>
  <si>
    <t>Regression for Maya and S&amp;P</t>
  </si>
  <si>
    <t>Given Values</t>
  </si>
  <si>
    <t>Monthy risk-free rate</t>
  </si>
  <si>
    <t>Monthly risk-premium rate</t>
  </si>
  <si>
    <t>Annual risk-free rate</t>
  </si>
  <si>
    <t>Annual risk-premium rate</t>
  </si>
  <si>
    <t>In %</t>
  </si>
  <si>
    <t>Betas (Regression coefficient)</t>
  </si>
  <si>
    <t>Alphas</t>
  </si>
  <si>
    <t>Expected Monthly returns</t>
  </si>
  <si>
    <t>Expected Annual returns</t>
  </si>
  <si>
    <t>Realized Monthly Returns</t>
  </si>
  <si>
    <t>Realized Annual 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</si>
</sst>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7" x14ac:knownFonts="1">
    <font>
      <sz val="10"/>
      <color rgb="FF000000"/>
      <name val="Arial"/>
      <scheme val="minor"/>
    </font>
    <font>
      <b/>
      <sz val="12"/>
      <color theme="1"/>
      <name val="Times New Roman"/>
      <family val="1"/>
    </font>
    <font>
      <sz val="10"/>
      <color theme="1"/>
      <name val="Times New Roman"/>
      <family val="1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rgb="FF000000"/>
      <name val="Times New Roman"/>
      <family val="1"/>
    </font>
    <font>
      <b/>
      <sz val="10"/>
      <color rgb="FF000000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rgb="FFFF0000"/>
      <name val="Times New Roman"/>
      <family val="1"/>
    </font>
    <font>
      <sz val="10"/>
      <color rgb="FF000000"/>
      <name val="Arial"/>
      <family val="2"/>
      <scheme val="minor"/>
    </font>
    <font>
      <sz val="10"/>
      <color rgb="FFFF0000"/>
      <name val="Arial"/>
      <family val="2"/>
      <scheme val="minor"/>
    </font>
    <font>
      <sz val="8"/>
      <name val="Arial"/>
      <family val="2"/>
      <scheme val="minor"/>
    </font>
    <font>
      <sz val="10"/>
      <color rgb="FF0A045C"/>
      <name val="Arial"/>
      <family val="2"/>
      <scheme val="minor"/>
    </font>
    <font>
      <i/>
      <sz val="10"/>
      <color rgb="FF000000"/>
      <name val="Arial"/>
      <family val="2"/>
      <scheme val="minor"/>
    </font>
    <font>
      <b/>
      <sz val="10"/>
      <color rgb="FFFF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0" borderId="0" xfId="0" applyFont="1"/>
    <xf numFmtId="0" fontId="5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6" fillId="0" borderId="1" xfId="0" applyNumberFormat="1" applyFont="1" applyBorder="1"/>
    <xf numFmtId="0" fontId="6" fillId="0" borderId="1" xfId="0" applyFont="1" applyBorder="1"/>
    <xf numFmtId="164" fontId="2" fillId="0" borderId="0" xfId="0" applyNumberFormat="1" applyFont="1"/>
    <xf numFmtId="49" fontId="6" fillId="0" borderId="0" xfId="0" applyNumberFormat="1" applyFont="1"/>
    <xf numFmtId="49" fontId="2" fillId="0" borderId="0" xfId="0" applyNumberFormat="1" applyFont="1"/>
    <xf numFmtId="4" fontId="2" fillId="0" borderId="0" xfId="0" applyNumberFormat="1" applyFont="1"/>
    <xf numFmtId="0" fontId="2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4" fontId="7" fillId="0" borderId="0" xfId="0" applyNumberFormat="1" applyFont="1" applyAlignment="1">
      <alignment horizontal="right" vertical="top" wrapText="1"/>
    </xf>
    <xf numFmtId="164" fontId="6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right" wrapText="1"/>
    </xf>
    <xf numFmtId="10" fontId="2" fillId="0" borderId="0" xfId="0" applyNumberFormat="1" applyFont="1"/>
    <xf numFmtId="2" fontId="0" fillId="0" borderId="0" xfId="0" applyNumberFormat="1"/>
    <xf numFmtId="2" fontId="9" fillId="0" borderId="0" xfId="0" applyNumberFormat="1" applyFont="1"/>
    <xf numFmtId="0" fontId="2" fillId="0" borderId="0" xfId="0" applyFont="1" applyAlignment="1">
      <alignment horizontal="left" vertical="center"/>
    </xf>
    <xf numFmtId="4" fontId="10" fillId="0" borderId="0" xfId="0" applyNumberFormat="1" applyFont="1" applyAlignment="1">
      <alignment horizontal="right" vertical="top" wrapText="1"/>
    </xf>
    <xf numFmtId="0" fontId="8" fillId="2" borderId="0" xfId="0" applyFont="1" applyFill="1"/>
    <xf numFmtId="2" fontId="8" fillId="2" borderId="0" xfId="0" applyNumberFormat="1" applyFont="1" applyFill="1"/>
    <xf numFmtId="4" fontId="9" fillId="0" borderId="0" xfId="0" applyNumberFormat="1" applyFont="1"/>
    <xf numFmtId="0" fontId="6" fillId="0" borderId="0" xfId="0" applyFont="1" applyAlignment="1">
      <alignment horizontal="left" vertical="center"/>
    </xf>
    <xf numFmtId="0" fontId="6" fillId="3" borderId="0" xfId="0" applyFont="1" applyFill="1" applyAlignment="1">
      <alignment horizontal="right" vertical="center"/>
    </xf>
    <xf numFmtId="49" fontId="6" fillId="3" borderId="0" xfId="0" applyNumberFormat="1" applyFont="1" applyFill="1" applyAlignment="1">
      <alignment horizontal="right" vertical="center"/>
    </xf>
    <xf numFmtId="0" fontId="6" fillId="3" borderId="0" xfId="0" applyFont="1" applyFill="1" applyAlignment="1">
      <alignment horizontal="center" vertical="center"/>
    </xf>
    <xf numFmtId="0" fontId="0" fillId="3" borderId="0" xfId="0" applyFill="1"/>
    <xf numFmtId="0" fontId="1" fillId="0" borderId="0" xfId="0" applyFont="1" applyAlignment="1">
      <alignment horizontal="center"/>
    </xf>
    <xf numFmtId="0" fontId="0" fillId="0" borderId="0" xfId="0"/>
    <xf numFmtId="49" fontId="3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49" fontId="5" fillId="0" borderId="0" xfId="0" applyNumberFormat="1" applyFont="1" applyAlignment="1">
      <alignment horizontal="center"/>
    </xf>
    <xf numFmtId="0" fontId="11" fillId="0" borderId="0" xfId="0" applyFont="1"/>
    <xf numFmtId="0" fontId="8" fillId="0" borderId="0" xfId="0" applyFont="1"/>
    <xf numFmtId="2" fontId="11" fillId="0" borderId="0" xfId="0" applyNumberFormat="1" applyFont="1"/>
    <xf numFmtId="2" fontId="12" fillId="0" borderId="0" xfId="0" applyNumberFormat="1" applyFont="1"/>
    <xf numFmtId="0" fontId="6" fillId="0" borderId="0" xfId="0" applyFont="1" applyAlignment="1">
      <alignment vertical="center"/>
    </xf>
    <xf numFmtId="4" fontId="0" fillId="0" borderId="0" xfId="0" applyNumberFormat="1"/>
    <xf numFmtId="0" fontId="14" fillId="0" borderId="0" xfId="0" applyFont="1"/>
    <xf numFmtId="0" fontId="14" fillId="0" borderId="0" xfId="0" applyNumberFormat="1" applyFont="1"/>
    <xf numFmtId="0" fontId="12" fillId="0" borderId="0" xfId="0" applyFont="1"/>
    <xf numFmtId="2" fontId="8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Fill="1" applyBorder="1" applyAlignment="1"/>
    <xf numFmtId="0" fontId="0" fillId="0" borderId="2" xfId="0" applyFill="1" applyBorder="1" applyAlignment="1"/>
    <xf numFmtId="0" fontId="15" fillId="0" borderId="3" xfId="0" applyFont="1" applyFill="1" applyBorder="1" applyAlignment="1">
      <alignment horizontal="center"/>
    </xf>
    <xf numFmtId="0" fontId="15" fillId="0" borderId="3" xfId="0" applyFont="1" applyFill="1" applyBorder="1" applyAlignment="1">
      <alignment horizontal="centerContinuous"/>
    </xf>
    <xf numFmtId="0" fontId="6" fillId="0" borderId="4" xfId="0" applyFont="1" applyBorder="1" applyAlignment="1">
      <alignment horizontal="left" vertical="center"/>
    </xf>
    <xf numFmtId="0" fontId="0" fillId="0" borderId="5" xfId="0" applyBorder="1"/>
    <xf numFmtId="0" fontId="6" fillId="0" borderId="6" xfId="0" applyFont="1" applyBorder="1" applyAlignment="1">
      <alignment horizontal="center" vertical="center"/>
    </xf>
    <xf numFmtId="0" fontId="0" fillId="0" borderId="7" xfId="0" applyBorder="1"/>
    <xf numFmtId="0" fontId="0" fillId="0" borderId="0" xfId="0" applyBorder="1"/>
    <xf numFmtId="0" fontId="6" fillId="0" borderId="8" xfId="0" applyFont="1" applyBorder="1" applyAlignment="1">
      <alignment horizontal="center" vertical="center"/>
    </xf>
    <xf numFmtId="0" fontId="15" fillId="0" borderId="9" xfId="0" applyFont="1" applyFill="1" applyBorder="1" applyAlignment="1">
      <alignment horizontal="centerContinuous"/>
    </xf>
    <xf numFmtId="0" fontId="0" fillId="0" borderId="7" xfId="0" applyFill="1" applyBorder="1" applyAlignment="1"/>
    <xf numFmtId="0" fontId="0" fillId="0" borderId="10" xfId="0" applyFill="1" applyBorder="1" applyAlignment="1"/>
    <xf numFmtId="0" fontId="15" fillId="0" borderId="9" xfId="0" applyFont="1" applyFill="1" applyBorder="1" applyAlignment="1">
      <alignment horizontal="center"/>
    </xf>
    <xf numFmtId="0" fontId="6" fillId="0" borderId="7" xfId="0" applyFont="1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6" fillId="0" borderId="13" xfId="0" applyFont="1" applyBorder="1" applyAlignment="1">
      <alignment horizontal="center" vertical="center"/>
    </xf>
    <xf numFmtId="164" fontId="6" fillId="0" borderId="0" xfId="0" applyNumberFormat="1" applyFont="1" applyAlignment="1">
      <alignment horizontal="left" vertical="center"/>
    </xf>
    <xf numFmtId="2" fontId="16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4" fontId="10" fillId="0" borderId="0" xfId="0" applyNumberFormat="1" applyFont="1" applyAlignment="1">
      <alignment horizontal="center" vertical="center"/>
    </xf>
    <xf numFmtId="2" fontId="16" fillId="0" borderId="0" xfId="0" applyNumberFormat="1" applyFont="1" applyAlignment="1">
      <alignment horizontal="center"/>
    </xf>
  </cellXfs>
  <cellStyles count="1">
    <cellStyle name="Normal" xfId="0" builtinId="0"/>
  </cellStyles>
  <dxfs count="10"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rgb="FF0A045C"/>
        <name val="Arial"/>
        <family val="2"/>
        <scheme val="minor"/>
      </font>
      <numFmt numFmtId="0" formatCode="General"/>
    </dxf>
    <dxf>
      <numFmt numFmtId="2" formatCode="0.00"/>
    </dxf>
    <dxf>
      <font>
        <strike val="0"/>
        <outline val="0"/>
        <shadow val="0"/>
        <u val="none"/>
        <vertAlign val="baseline"/>
        <sz val="10"/>
        <color rgb="FF0A045C"/>
        <name val="Arial"/>
        <family val="2"/>
        <scheme val="minor"/>
      </font>
    </dxf>
    <dxf>
      <numFmt numFmtId="2" formatCode="0.00"/>
    </dxf>
  </dxfs>
  <tableStyles count="0" defaultTableStyle="TableStyleMedium2" defaultPivotStyle="PivotStyleLight16"/>
  <colors>
    <mruColors>
      <color rgb="FF0A04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18629636656864"/>
          <c:y val="0.10231481481481482"/>
          <c:w val="0.85690944881889763"/>
          <c:h val="0.73111111111111116"/>
        </c:manualLayout>
      </c:layout>
      <c:scatterChart>
        <c:scatterStyle val="lineMarker"/>
        <c:varyColors val="0"/>
        <c:ser>
          <c:idx val="0"/>
          <c:order val="0"/>
          <c:tx>
            <c:strRef>
              <c:f>Step2.graph!$D$1</c:f>
              <c:strCache>
                <c:ptCount val="1"/>
                <c:pt idx="0">
                  <c:v>Mean returns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Step2.graph!$C$2:$C$101</c:f>
              <c:numCache>
                <c:formatCode>0.00</c:formatCode>
                <c:ptCount val="100"/>
                <c:pt idx="0">
                  <c:v>8.162371083816307</c:v>
                </c:pt>
                <c:pt idx="1">
                  <c:v>8.0982460573858628</c:v>
                </c:pt>
                <c:pt idx="2">
                  <c:v>8.0345083563298392</c:v>
                </c:pt>
                <c:pt idx="3">
                  <c:v>7.9711672718508186</c:v>
                </c:pt>
                <c:pt idx="4">
                  <c:v>7.9082323340706475</c:v>
                </c:pt>
                <c:pt idx="5">
                  <c:v>7.8457133167978172</c:v>
                </c:pt>
                <c:pt idx="6">
                  <c:v>7.7836202422163421</c:v>
                </c:pt>
                <c:pt idx="7">
                  <c:v>7.7219633854755267</c:v>
                </c:pt>
                <c:pt idx="8">
                  <c:v>7.6607532791581647</c:v>
                </c:pt>
                <c:pt idx="9">
                  <c:v>7.6000007176028435</c:v>
                </c:pt>
                <c:pt idx="10">
                  <c:v>7.5397167610539695</c:v>
                </c:pt>
                <c:pt idx="11">
                  <c:v>7.4799127396110618</c:v>
                </c:pt>
                <c:pt idx="12">
                  <c:v>7.4206002569466589</c:v>
                </c:pt>
                <c:pt idx="13">
                  <c:v>7.361791193759915</c:v>
                </c:pt>
                <c:pt idx="14">
                  <c:v>7.3034977109305999</c:v>
                </c:pt>
                <c:pt idx="15">
                  <c:v>7.2457322523358023</c:v>
                </c:pt>
                <c:pt idx="16">
                  <c:v>7.1885075472891629</c:v>
                </c:pt>
                <c:pt idx="17">
                  <c:v>7.1318366125599457</c:v>
                </c:pt>
                <c:pt idx="18">
                  <c:v>7.0757327539266957</c:v>
                </c:pt>
                <c:pt idx="19">
                  <c:v>7.0202095672176945</c:v>
                </c:pt>
                <c:pt idx="20">
                  <c:v>6.9652809387878891</c:v>
                </c:pt>
                <c:pt idx="21">
                  <c:v>6.9109610453794481</c:v>
                </c:pt>
                <c:pt idx="22">
                  <c:v>6.8572643533107112</c:v>
                </c:pt>
                <c:pt idx="23">
                  <c:v>6.8042056169359411</c:v>
                </c:pt>
                <c:pt idx="24">
                  <c:v>6.7517998763161442</c:v>
                </c:pt>
                <c:pt idx="25">
                  <c:v>6.7000624540392195</c:v>
                </c:pt>
                <c:pt idx="26">
                  <c:v>6.6490089511259249</c:v>
                </c:pt>
                <c:pt idx="27">
                  <c:v>6.5986552419566937</c:v>
                </c:pt>
                <c:pt idx="28">
                  <c:v>6.5490174681531963</c:v>
                </c:pt>
                <c:pt idx="29">
                  <c:v>6.5001120313477747</c:v>
                </c:pt>
                <c:pt idx="30">
                  <c:v>6.4519555847736401</c:v>
                </c:pt>
                <c:pt idx="31">
                  <c:v>6.4045650236089173</c:v>
                </c:pt>
                <c:pt idx="32">
                  <c:v>6.3579574740085256</c:v>
                </c:pt>
                <c:pt idx="33">
                  <c:v>6.3121502807593481</c:v>
                </c:pt>
                <c:pt idx="34">
                  <c:v>6.2671609934964208</c:v>
                </c:pt>
                <c:pt idx="35">
                  <c:v>6.2230073514209359</c:v>
                </c:pt>
                <c:pt idx="36">
                  <c:v>6.1797072664648329</c:v>
                </c:pt>
                <c:pt idx="37">
                  <c:v>6.1372788048516052</c:v>
                </c:pt>
                <c:pt idx="38">
                  <c:v>6.0957401670089668</c:v>
                </c:pt>
                <c:pt idx="39">
                  <c:v>6.055109665795948</c:v>
                </c:pt>
                <c:pt idx="40">
                  <c:v>6.0154057030152019</c:v>
                </c:pt>
                <c:pt idx="41">
                  <c:v>5.9766467441905373</c:v>
                </c:pt>
                <c:pt idx="42">
                  <c:v>5.9388512916002663</c:v>
                </c:pt>
                <c:pt idx="43">
                  <c:v>5.9020378555685511</c:v>
                </c:pt>
                <c:pt idx="44">
                  <c:v>5.8662249240298943</c:v>
                </c:pt>
                <c:pt idx="45">
                  <c:v>5.8314309303959115</c:v>
                </c:pt>
                <c:pt idx="46">
                  <c:v>5.7976742197686466</c:v>
                </c:pt>
                <c:pt idx="47">
                  <c:v>5.7649730135608692</c:v>
                </c:pt>
                <c:pt idx="48">
                  <c:v>5.7333453726008399</c:v>
                </c:pt>
                <c:pt idx="49">
                  <c:v>5.7028091588168275</c:v>
                </c:pt>
                <c:pt idx="50">
                  <c:v>5.673381995615137</c:v>
                </c:pt>
                <c:pt idx="51">
                  <c:v>5.645081227084173</c:v>
                </c:pt>
                <c:pt idx="52">
                  <c:v>5.617923876176107</c:v>
                </c:pt>
                <c:pt idx="53">
                  <c:v>5.591926602036569</c:v>
                </c:pt>
                <c:pt idx="54">
                  <c:v>5.5671056566713544</c:v>
                </c:pt>
                <c:pt idx="55">
                  <c:v>5.5434768411569459</c:v>
                </c:pt>
                <c:pt idx="56">
                  <c:v>5.5210554616185359</c:v>
                </c:pt>
                <c:pt idx="57">
                  <c:v>5.4998562852146957</c:v>
                </c:pt>
                <c:pt idx="58">
                  <c:v>5.4798934963817123</c:v>
                </c:pt>
                <c:pt idx="59">
                  <c:v>5.4611806536023719</c:v>
                </c:pt>
                <c:pt idx="60">
                  <c:v>5.4437306469734832</c:v>
                </c:pt>
                <c:pt idx="61">
                  <c:v>5.4275556568531949</c:v>
                </c:pt>
                <c:pt idx="62">
                  <c:v>5.4126671138730806</c:v>
                </c:pt>
                <c:pt idx="63">
                  <c:v>5.3990756606006594</c:v>
                </c:pt>
                <c:pt idx="64">
                  <c:v>5.3867911151353365</c:v>
                </c:pt>
                <c:pt idx="65">
                  <c:v>5.3758224369146363</c:v>
                </c:pt>
                <c:pt idx="66">
                  <c:v>5.3661776949978002</c:v>
                </c:pt>
                <c:pt idx="67">
                  <c:v>5.3578640390805212</c:v>
                </c:pt>
                <c:pt idx="68">
                  <c:v>5.3508876734777235</c:v>
                </c:pt>
                <c:pt idx="69">
                  <c:v>5.3452538342910065</c:v>
                </c:pt>
                <c:pt idx="70">
                  <c:v>5.3409667699539982</c:v>
                </c:pt>
                <c:pt idx="71">
                  <c:v>5.3380297253224649</c:v>
                </c:pt>
                <c:pt idx="72">
                  <c:v>5.3364449294472136</c:v>
                </c:pt>
                <c:pt idx="73">
                  <c:v>5.3362135871367435</c:v>
                </c:pt>
                <c:pt idx="74">
                  <c:v>5.3373358743839576</c:v>
                </c:pt>
                <c:pt idx="75">
                  <c:v>5.3398109376973641</c:v>
                </c:pt>
                <c:pt idx="76">
                  <c:v>5.3436368973426793</c:v>
                </c:pt>
                <c:pt idx="77">
                  <c:v>5.3488108544661648</c:v>
                </c:pt>
                <c:pt idx="78">
                  <c:v>5.355328902036856</c:v>
                </c:pt>
                <c:pt idx="79">
                  <c:v>5.3631861395117326</c:v>
                </c:pt>
                <c:pt idx="80">
                  <c:v>5.3723766910961768</c:v>
                </c:pt>
                <c:pt idx="81">
                  <c:v>5.3828937274424726</c:v>
                </c:pt>
                <c:pt idx="82">
                  <c:v>5.3947294906018017</c:v>
                </c:pt>
                <c:pt idx="83">
                  <c:v>5.407875322020776</c:v>
                </c:pt>
                <c:pt idx="84">
                  <c:v>5.4223216933521288</c:v>
                </c:pt>
                <c:pt idx="85">
                  <c:v>5.4380582398312134</c:v>
                </c:pt>
                <c:pt idx="86">
                  <c:v>5.455073795955327</c:v>
                </c:pt>
                <c:pt idx="87">
                  <c:v>5.47335643319198</c:v>
                </c:pt>
                <c:pt idx="88">
                  <c:v>5.4928934994347811</c:v>
                </c:pt>
                <c:pt idx="89">
                  <c:v>5.5136716599218136</c:v>
                </c:pt>
                <c:pt idx="90">
                  <c:v>5.5356769393309371</c:v>
                </c:pt>
                <c:pt idx="91">
                  <c:v>5.5588947647692484</c:v>
                </c:pt>
                <c:pt idx="92">
                  <c:v>5.583310009379816</c:v>
                </c:pt>
                <c:pt idx="93">
                  <c:v>5.6089070362973548</c:v>
                </c:pt>
                <c:pt idx="94">
                  <c:v>5.6356697426955735</c:v>
                </c:pt>
                <c:pt idx="95">
                  <c:v>5.6635816036820774</c:v>
                </c:pt>
                <c:pt idx="96">
                  <c:v>5.6926257158117268</c:v>
                </c:pt>
                <c:pt idx="97">
                  <c:v>5.7227848400057093</c:v>
                </c:pt>
                <c:pt idx="98">
                  <c:v>5.7540414436811833</c:v>
                </c:pt>
                <c:pt idx="99">
                  <c:v>5.7863777419146514</c:v>
                </c:pt>
              </c:numCache>
            </c:numRef>
          </c:xVal>
          <c:yVal>
            <c:numRef>
              <c:f>Step2.graph!$D$2:$D$101</c:f>
              <c:numCache>
                <c:formatCode>0.00</c:formatCode>
                <c:ptCount val="100"/>
                <c:pt idx="0">
                  <c:v>0.82291446833333293</c:v>
                </c:pt>
                <c:pt idx="1">
                  <c:v>0.82048960333333287</c:v>
                </c:pt>
                <c:pt idx="2">
                  <c:v>0.81806473833333282</c:v>
                </c:pt>
                <c:pt idx="3">
                  <c:v>0.81563987333333288</c:v>
                </c:pt>
                <c:pt idx="4">
                  <c:v>0.81321500833333293</c:v>
                </c:pt>
                <c:pt idx="5">
                  <c:v>0.81079014333333288</c:v>
                </c:pt>
                <c:pt idx="6">
                  <c:v>0.80836527833333283</c:v>
                </c:pt>
                <c:pt idx="7">
                  <c:v>0.80594041333333288</c:v>
                </c:pt>
                <c:pt idx="8">
                  <c:v>0.80351554833333294</c:v>
                </c:pt>
                <c:pt idx="9">
                  <c:v>0.801090683333333</c:v>
                </c:pt>
                <c:pt idx="10">
                  <c:v>0.79866581833333306</c:v>
                </c:pt>
                <c:pt idx="11">
                  <c:v>0.79624095333333289</c:v>
                </c:pt>
                <c:pt idx="12">
                  <c:v>0.79381608833333295</c:v>
                </c:pt>
                <c:pt idx="13">
                  <c:v>0.791391223333333</c:v>
                </c:pt>
                <c:pt idx="14">
                  <c:v>0.78896635833333284</c:v>
                </c:pt>
                <c:pt idx="15">
                  <c:v>0.7865414933333329</c:v>
                </c:pt>
                <c:pt idx="16">
                  <c:v>0.78411662833333295</c:v>
                </c:pt>
                <c:pt idx="17">
                  <c:v>0.78169176333333301</c:v>
                </c:pt>
                <c:pt idx="18">
                  <c:v>0.77926689833333307</c:v>
                </c:pt>
                <c:pt idx="19">
                  <c:v>0.77684203333333302</c:v>
                </c:pt>
                <c:pt idx="20">
                  <c:v>0.77441716833333296</c:v>
                </c:pt>
                <c:pt idx="21">
                  <c:v>0.77199230333333302</c:v>
                </c:pt>
                <c:pt idx="22">
                  <c:v>0.76956743833333308</c:v>
                </c:pt>
                <c:pt idx="23">
                  <c:v>0.76714257333333302</c:v>
                </c:pt>
                <c:pt idx="24">
                  <c:v>0.76471770833333297</c:v>
                </c:pt>
                <c:pt idx="25">
                  <c:v>0.76229284333333303</c:v>
                </c:pt>
                <c:pt idx="26">
                  <c:v>0.75986797833333308</c:v>
                </c:pt>
                <c:pt idx="27">
                  <c:v>0.75744311333333303</c:v>
                </c:pt>
                <c:pt idx="28">
                  <c:v>0.75501824833333298</c:v>
                </c:pt>
                <c:pt idx="29">
                  <c:v>0.75259338333333303</c:v>
                </c:pt>
                <c:pt idx="30">
                  <c:v>0.75016851833333298</c:v>
                </c:pt>
                <c:pt idx="31">
                  <c:v>0.74774365333333304</c:v>
                </c:pt>
                <c:pt idx="32">
                  <c:v>0.74531878833333298</c:v>
                </c:pt>
                <c:pt idx="33">
                  <c:v>0.74289392333333304</c:v>
                </c:pt>
                <c:pt idx="34">
                  <c:v>0.7404690583333331</c:v>
                </c:pt>
                <c:pt idx="35">
                  <c:v>0.73804419333333315</c:v>
                </c:pt>
                <c:pt idx="36">
                  <c:v>0.73561932833333321</c:v>
                </c:pt>
                <c:pt idx="37">
                  <c:v>0.73319446333333305</c:v>
                </c:pt>
                <c:pt idx="38">
                  <c:v>0.7307695983333331</c:v>
                </c:pt>
                <c:pt idx="39">
                  <c:v>0.72834473333333305</c:v>
                </c:pt>
                <c:pt idx="40">
                  <c:v>0.72591986833333322</c:v>
                </c:pt>
                <c:pt idx="41">
                  <c:v>0.72349500333333316</c:v>
                </c:pt>
                <c:pt idx="42">
                  <c:v>0.72107013833333311</c:v>
                </c:pt>
                <c:pt idx="43">
                  <c:v>0.71864527333333328</c:v>
                </c:pt>
                <c:pt idx="44">
                  <c:v>0.71622040833333322</c:v>
                </c:pt>
                <c:pt idx="45">
                  <c:v>0.71379554333333317</c:v>
                </c:pt>
                <c:pt idx="46">
                  <c:v>0.71137067833333312</c:v>
                </c:pt>
                <c:pt idx="47">
                  <c:v>0.70894581333333317</c:v>
                </c:pt>
                <c:pt idx="48">
                  <c:v>0.70652094833333323</c:v>
                </c:pt>
                <c:pt idx="49">
                  <c:v>0.70409608333333318</c:v>
                </c:pt>
                <c:pt idx="50">
                  <c:v>0.70167121833333312</c:v>
                </c:pt>
                <c:pt idx="51">
                  <c:v>0.69924635333333318</c:v>
                </c:pt>
                <c:pt idx="52">
                  <c:v>0.69682148833333324</c:v>
                </c:pt>
                <c:pt idx="53">
                  <c:v>0.69439662333333319</c:v>
                </c:pt>
                <c:pt idx="54">
                  <c:v>0.69197175833333313</c:v>
                </c:pt>
                <c:pt idx="55">
                  <c:v>0.68954689333333319</c:v>
                </c:pt>
                <c:pt idx="56">
                  <c:v>0.68712202833333325</c:v>
                </c:pt>
                <c:pt idx="57">
                  <c:v>0.68469716333333319</c:v>
                </c:pt>
                <c:pt idx="58">
                  <c:v>0.68227229833333325</c:v>
                </c:pt>
                <c:pt idx="59">
                  <c:v>0.67984743333333331</c:v>
                </c:pt>
                <c:pt idx="60">
                  <c:v>0.67742256833333325</c:v>
                </c:pt>
                <c:pt idx="61">
                  <c:v>0.6749977033333332</c:v>
                </c:pt>
                <c:pt idx="62">
                  <c:v>0.67257283833333326</c:v>
                </c:pt>
                <c:pt idx="63">
                  <c:v>0.67014797333333331</c:v>
                </c:pt>
                <c:pt idx="64">
                  <c:v>0.66772310833333326</c:v>
                </c:pt>
                <c:pt idx="65">
                  <c:v>0.66529824333333321</c:v>
                </c:pt>
                <c:pt idx="66">
                  <c:v>0.66287337833333337</c:v>
                </c:pt>
                <c:pt idx="67">
                  <c:v>0.66044851333333332</c:v>
                </c:pt>
                <c:pt idx="68">
                  <c:v>0.65802364833333327</c:v>
                </c:pt>
                <c:pt idx="69">
                  <c:v>0.65559878333333332</c:v>
                </c:pt>
                <c:pt idx="70">
                  <c:v>0.65317391833333338</c:v>
                </c:pt>
                <c:pt idx="71">
                  <c:v>0.65074905333333333</c:v>
                </c:pt>
                <c:pt idx="72">
                  <c:v>0.64832418833333327</c:v>
                </c:pt>
                <c:pt idx="73">
                  <c:v>0.64589932333333333</c:v>
                </c:pt>
                <c:pt idx="74">
                  <c:v>0.64347445833333339</c:v>
                </c:pt>
                <c:pt idx="75">
                  <c:v>0.64104959333333311</c:v>
                </c:pt>
                <c:pt idx="76">
                  <c:v>0.63862472833333306</c:v>
                </c:pt>
                <c:pt idx="77">
                  <c:v>0.63619986333333312</c:v>
                </c:pt>
                <c:pt idx="78">
                  <c:v>0.63377499833333317</c:v>
                </c:pt>
                <c:pt idx="79">
                  <c:v>0.63135013333333312</c:v>
                </c:pt>
                <c:pt idx="80">
                  <c:v>0.62892526833333307</c:v>
                </c:pt>
                <c:pt idx="81">
                  <c:v>0.62650040333333312</c:v>
                </c:pt>
                <c:pt idx="82">
                  <c:v>0.62407553833333318</c:v>
                </c:pt>
                <c:pt idx="83">
                  <c:v>0.62165067333333313</c:v>
                </c:pt>
                <c:pt idx="84">
                  <c:v>0.61922580833333318</c:v>
                </c:pt>
                <c:pt idx="85">
                  <c:v>0.61680094333333313</c:v>
                </c:pt>
                <c:pt idx="86">
                  <c:v>0.61437607833333319</c:v>
                </c:pt>
                <c:pt idx="87">
                  <c:v>0.61195121333333313</c:v>
                </c:pt>
                <c:pt idx="88">
                  <c:v>0.60952634833333319</c:v>
                </c:pt>
                <c:pt idx="89">
                  <c:v>0.60710148333333325</c:v>
                </c:pt>
                <c:pt idx="90">
                  <c:v>0.60467661833333308</c:v>
                </c:pt>
                <c:pt idx="91">
                  <c:v>0.60225175333333314</c:v>
                </c:pt>
                <c:pt idx="92">
                  <c:v>0.5998268883333332</c:v>
                </c:pt>
                <c:pt idx="93">
                  <c:v>0.59740202333333314</c:v>
                </c:pt>
                <c:pt idx="94">
                  <c:v>0.5949771583333332</c:v>
                </c:pt>
                <c:pt idx="95">
                  <c:v>0.59255229333333326</c:v>
                </c:pt>
                <c:pt idx="96">
                  <c:v>0.5901274283333332</c:v>
                </c:pt>
                <c:pt idx="97">
                  <c:v>0.58770256333333326</c:v>
                </c:pt>
                <c:pt idx="98">
                  <c:v>0.58527769833333321</c:v>
                </c:pt>
                <c:pt idx="99">
                  <c:v>0.58285283333333349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05-4053-A919-F48F93556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195455"/>
        <c:axId val="469193535"/>
      </c:scatterChart>
      <c:valAx>
        <c:axId val="469195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Standard Deviations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93535"/>
        <c:crosses val="autoZero"/>
        <c:crossBetween val="midCat"/>
      </c:valAx>
      <c:valAx>
        <c:axId val="46919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Mean 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95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'Step3 and Step4'!$I$1</c:f>
              <c:strCache>
                <c:ptCount val="1"/>
                <c:pt idx="0">
                  <c:v>Mean Returns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xVal>
            <c:numRef>
              <c:f>'Step3 and Step4'!$H$2:$H$231</c:f>
              <c:numCache>
                <c:formatCode>0.00</c:formatCode>
                <c:ptCount val="230"/>
                <c:pt idx="0">
                  <c:v>12.04504167995238</c:v>
                </c:pt>
                <c:pt idx="1">
                  <c:v>11.531702822502329</c:v>
                </c:pt>
                <c:pt idx="2">
                  <c:v>11.034918770835425</c:v>
                </c:pt>
                <c:pt idx="3">
                  <c:v>10.557026851773829</c:v>
                </c:pt>
                <c:pt idx="4">
                  <c:v>10.100708935362949</c:v>
                </c:pt>
                <c:pt idx="5">
                  <c:v>9.6690199825255281</c:v>
                </c:pt>
                <c:pt idx="6">
                  <c:v>9.265403133471569</c:v>
                </c:pt>
                <c:pt idx="7">
                  <c:v>8.8936811504978781</c:v>
                </c:pt>
                <c:pt idx="8">
                  <c:v>8.5580111571209994</c:v>
                </c:pt>
                <c:pt idx="9">
                  <c:v>8.2627880828327864</c:v>
                </c:pt>
                <c:pt idx="10">
                  <c:v>8.0124840228177199</c:v>
                </c:pt>
                <c:pt idx="11">
                  <c:v>7.8114182392011697</c:v>
                </c:pt>
                <c:pt idx="12">
                  <c:v>7.6634672947204443</c:v>
                </c:pt>
                <c:pt idx="13">
                  <c:v>7.5717454014569716</c:v>
                </c:pt>
                <c:pt idx="14">
                  <c:v>7.5383053300744898</c:v>
                </c:pt>
                <c:pt idx="15">
                  <c:v>7.5639201114292494</c:v>
                </c:pt>
                <c:pt idx="16">
                  <c:v>7.6479964064091961</c:v>
                </c:pt>
                <c:pt idx="17">
                  <c:v>7.7886412159324587</c:v>
                </c:pt>
                <c:pt idx="18">
                  <c:v>7.9828651702446685</c:v>
                </c:pt>
                <c:pt idx="19">
                  <c:v>8.22687437851088</c:v>
                </c:pt>
                <c:pt idx="20">
                  <c:v>11.970915863500268</c:v>
                </c:pt>
                <c:pt idx="21">
                  <c:v>11.446530759325055</c:v>
                </c:pt>
                <c:pt idx="22">
                  <c:v>10.937798115482687</c:v>
                </c:pt>
                <c:pt idx="23">
                  <c:v>10.447004842712023</c:v>
                </c:pt>
                <c:pt idx="24">
                  <c:v>9.9767987916941525</c:v>
                </c:pt>
                <c:pt idx="25">
                  <c:v>9.5302276706257736</c:v>
                </c:pt>
                <c:pt idx="26">
                  <c:v>9.1107675942086317</c:v>
                </c:pt>
                <c:pt idx="27">
                  <c:v>8.7223307799643095</c:v>
                </c:pt>
                <c:pt idx="28">
                  <c:v>8.3692379397561201</c:v>
                </c:pt>
                <c:pt idx="29">
                  <c:v>8.0561376929086439</c:v>
                </c:pt>
                <c:pt idx="30">
                  <c:v>7.7878550795237143</c:v>
                </c:pt>
                <c:pt idx="31">
                  <c:v>7.5691571743446415</c:v>
                </c:pt>
                <c:pt idx="32">
                  <c:v>7.4044388914969321</c:v>
                </c:pt>
                <c:pt idx="33">
                  <c:v>7.2973564832479871</c:v>
                </c:pt>
                <c:pt idx="34">
                  <c:v>7.2504640794227964</c:v>
                </c:pt>
                <c:pt idx="35">
                  <c:v>7.2649272858101508</c:v>
                </c:pt>
                <c:pt idx="36">
                  <c:v>7.3403834332361111</c:v>
                </c:pt>
                <c:pt idx="37">
                  <c:v>7.4749856724581889</c:v>
                </c:pt>
                <c:pt idx="38">
                  <c:v>7.6656189598552951</c:v>
                </c:pt>
                <c:pt idx="39">
                  <c:v>7.9082323340706475</c:v>
                </c:pt>
                <c:pt idx="40">
                  <c:v>11.376605755229573</c:v>
                </c:pt>
                <c:pt idx="41">
                  <c:v>10.856455158073413</c:v>
                </c:pt>
                <c:pt idx="42">
                  <c:v>10.353270018033182</c:v>
                </c:pt>
                <c:pt idx="43">
                  <c:v>9.8696455311759017</c:v>
                </c:pt>
                <c:pt idx="44">
                  <c:v>9.408598574364083</c:v>
                </c:pt>
                <c:pt idx="45">
                  <c:v>8.9736097939291426</c:v>
                </c:pt>
                <c:pt idx="46">
                  <c:v>8.5686486514260753</c:v>
                </c:pt>
                <c:pt idx="47">
                  <c:v>8.1981661404963297</c:v>
                </c:pt>
                <c:pt idx="48">
                  <c:v>7.867034879831464</c:v>
                </c:pt>
                <c:pt idx="49">
                  <c:v>7.5804135053108377</c:v>
                </c:pt>
                <c:pt idx="50">
                  <c:v>7.34351560223186</c:v>
                </c:pt>
                <c:pt idx="51">
                  <c:v>7.1612774884552763</c:v>
                </c:pt>
                <c:pt idx="52">
                  <c:v>7.0379464697310388</c:v>
                </c:pt>
                <c:pt idx="53">
                  <c:v>6.9766472701902176</c:v>
                </c:pt>
                <c:pt idx="54">
                  <c:v>6.9790146247314429</c:v>
                </c:pt>
                <c:pt idx="55">
                  <c:v>7.0449843512592603</c:v>
                </c:pt>
                <c:pt idx="56">
                  <c:v>7.1728017722832744</c:v>
                </c:pt>
                <c:pt idx="57">
                  <c:v>7.3592450290204381</c:v>
                </c:pt>
                <c:pt idx="58">
                  <c:v>7.6000007176028435</c:v>
                </c:pt>
                <c:pt idx="59">
                  <c:v>10.791246694962659</c:v>
                </c:pt>
                <c:pt idx="60">
                  <c:v>10.276268077324701</c:v>
                </c:pt>
                <c:pt idx="61">
                  <c:v>9.779799964224857</c:v>
                </c:pt>
                <c:pt idx="62">
                  <c:v>9.3048057723507647</c:v>
                </c:pt>
                <c:pt idx="63">
                  <c:v>8.8547419476685754</c:v>
                </c:pt>
                <c:pt idx="64">
                  <c:v>8.4336007040967083</c:v>
                </c:pt>
                <c:pt idx="65">
                  <c:v>8.0459249368975172</c:v>
                </c:pt>
                <c:pt idx="66">
                  <c:v>7.6967731369677148</c:v>
                </c:pt>
                <c:pt idx="67">
                  <c:v>7.391606505450361</c:v>
                </c:pt>
                <c:pt idx="68">
                  <c:v>7.1360702153632225</c:v>
                </c:pt>
                <c:pt idx="69">
                  <c:v>6.9356521599256853</c:v>
                </c:pt>
                <c:pt idx="70">
                  <c:v>6.7952310502351052</c:v>
                </c:pt>
                <c:pt idx="71">
                  <c:v>6.7185698289432461</c:v>
                </c:pt>
                <c:pt idx="72">
                  <c:v>6.707854906332086</c:v>
                </c:pt>
                <c:pt idx="73">
                  <c:v>6.7633997161287231</c:v>
                </c:pt>
                <c:pt idx="74">
                  <c:v>6.8836004658584384</c:v>
                </c:pt>
                <c:pt idx="75">
                  <c:v>7.0651579178892137</c:v>
                </c:pt>
                <c:pt idx="76">
                  <c:v>7.3034977109305999</c:v>
                </c:pt>
                <c:pt idx="77">
                  <c:v>10.216377380258725</c:v>
                </c:pt>
                <c:pt idx="78">
                  <c:v>9.7077426530335131</c:v>
                </c:pt>
                <c:pt idx="79">
                  <c:v>9.2194516885170508</c:v>
                </c:pt>
                <c:pt idx="80">
                  <c:v>8.7549090705719745</c:v>
                </c:pt>
                <c:pt idx="81">
                  <c:v>8.3180945900354288</c:v>
                </c:pt>
                <c:pt idx="82">
                  <c:v>7.9136011879093102</c:v>
                </c:pt>
                <c:pt idx="83">
                  <c:v>7.546627809259733</c:v>
                </c:pt>
                <c:pt idx="84">
                  <c:v>7.2228955550675655</c:v>
                </c:pt>
                <c:pt idx="85">
                  <c:v>6.9484509414003197</c:v>
                </c:pt>
                <c:pt idx="86">
                  <c:v>6.7293270204671192</c:v>
                </c:pt>
                <c:pt idx="87">
                  <c:v>6.5710604311207277</c:v>
                </c:pt>
                <c:pt idx="88">
                  <c:v>6.4781131209791267</c:v>
                </c:pt>
                <c:pt idx="89">
                  <c:v>6.4533080977645128</c:v>
                </c:pt>
                <c:pt idx="90">
                  <c:v>6.4974258425051596</c:v>
                </c:pt>
                <c:pt idx="91">
                  <c:v>6.6090862553566714</c:v>
                </c:pt>
                <c:pt idx="92">
                  <c:v>6.7849554943525447</c:v>
                </c:pt>
                <c:pt idx="93">
                  <c:v>7.0202095672176945</c:v>
                </c:pt>
                <c:pt idx="94">
                  <c:v>9.6538719249263565</c:v>
                </c:pt>
                <c:pt idx="95">
                  <c:v>9.1530521718555313</c:v>
                </c:pt>
                <c:pt idx="96">
                  <c:v>8.6747683747894353</c:v>
                </c:pt>
                <c:pt idx="97">
                  <c:v>8.2229538506241404</c:v>
                </c:pt>
                <c:pt idx="98">
                  <c:v>7.8022083463883174</c:v>
                </c:pt>
                <c:pt idx="99">
                  <c:v>7.4178205363245615</c:v>
                </c:pt>
                <c:pt idx="100">
                  <c:v>7.0757182897211948</c:v>
                </c:pt>
                <c:pt idx="101">
                  <c:v>6.7823033329084739</c:v>
                </c:pt>
                <c:pt idx="102">
                  <c:v>6.5441278304581951</c:v>
                </c:pt>
                <c:pt idx="103">
                  <c:v>6.3673935798632169</c:v>
                </c:pt>
                <c:pt idx="104">
                  <c:v>6.2573088718792578</c:v>
                </c:pt>
                <c:pt idx="105">
                  <c:v>6.2174149783510648</c:v>
                </c:pt>
                <c:pt idx="106">
                  <c:v>6.2490563356125373</c:v>
                </c:pt>
                <c:pt idx="107">
                  <c:v>6.3511638725515471</c:v>
                </c:pt>
                <c:pt idx="108">
                  <c:v>6.5204280046679814</c:v>
                </c:pt>
                <c:pt idx="109">
                  <c:v>6.7517998763161442</c:v>
                </c:pt>
                <c:pt idx="110">
                  <c:v>9.1060218719592427</c:v>
                </c:pt>
                <c:pt idx="111">
                  <c:v>8.6148694433863593</c:v>
                </c:pt>
                <c:pt idx="112">
                  <c:v>8.1488918325311932</c:v>
                </c:pt>
                <c:pt idx="113">
                  <c:v>7.7126533727184281</c:v>
                </c:pt>
                <c:pt idx="114">
                  <c:v>7.3114791509533834</c:v>
                </c:pt>
                <c:pt idx="115">
                  <c:v>6.9514425898267191</c:v>
                </c:pt>
                <c:pt idx="116">
                  <c:v>6.6392395771049975</c:v>
                </c:pt>
                <c:pt idx="117">
                  <c:v>6.3818940466328344</c:v>
                </c:pt>
                <c:pt idx="118">
                  <c:v>6.1862559323396589</c:v>
                </c:pt>
                <c:pt idx="119">
                  <c:v>6.0583062547280804</c:v>
                </c:pt>
                <c:pt idx="120">
                  <c:v>6.0023752189826372</c:v>
                </c:pt>
                <c:pt idx="121">
                  <c:v>6.0204703504415722</c:v>
                </c:pt>
                <c:pt idx="122">
                  <c:v>6.1119341938002734</c:v>
                </c:pt>
                <c:pt idx="123">
                  <c:v>6.2735585847151922</c:v>
                </c:pt>
                <c:pt idx="124">
                  <c:v>6.5001120313477747</c:v>
                </c:pt>
                <c:pt idx="125">
                  <c:v>8.5756364396479992</c:v>
                </c:pt>
                <c:pt idx="126">
                  <c:v>8.0964870045702142</c:v>
                </c:pt>
                <c:pt idx="127">
                  <c:v>7.645703673504479</c:v>
                </c:pt>
                <c:pt idx="128">
                  <c:v>7.228595222352344</c:v>
                </c:pt>
                <c:pt idx="129">
                  <c:v>6.8513148002336113</c:v>
                </c:pt>
                <c:pt idx="130">
                  <c:v>6.5207792074946722</c:v>
                </c:pt>
                <c:pt idx="131">
                  <c:v>6.2444158919469235</c:v>
                </c:pt>
                <c:pt idx="132">
                  <c:v>6.0296782308854162</c:v>
                </c:pt>
                <c:pt idx="133">
                  <c:v>5.8833179994062377</c:v>
                </c:pt>
                <c:pt idx="134">
                  <c:v>5.8105045541649023</c:v>
                </c:pt>
                <c:pt idx="135">
                  <c:v>5.8140018097274844</c:v>
                </c:pt>
                <c:pt idx="136">
                  <c:v>5.8936739213132245</c:v>
                </c:pt>
                <c:pt idx="137">
                  <c:v>6.046510474292627</c:v>
                </c:pt>
                <c:pt idx="138">
                  <c:v>6.2671609934964208</c:v>
                </c:pt>
                <c:pt idx="139">
                  <c:v>8.0661614898374481</c:v>
                </c:pt>
                <c:pt idx="140">
                  <c:v>7.6019565196373211</c:v>
                </c:pt>
                <c:pt idx="141">
                  <c:v>7.1699822908069875</c:v>
                </c:pt>
                <c:pt idx="142">
                  <c:v>6.7764054300362648</c:v>
                </c:pt>
                <c:pt idx="143">
                  <c:v>6.4282825413693416</c:v>
                </c:pt>
                <c:pt idx="144">
                  <c:v>6.1333582716838349</c:v>
                </c:pt>
                <c:pt idx="145">
                  <c:v>5.8996162861410646</c:v>
                </c:pt>
                <c:pt idx="146">
                  <c:v>5.7345429056097386</c:v>
                </c:pt>
                <c:pt idx="147">
                  <c:v>5.6441663446931498</c:v>
                </c:pt>
                <c:pt idx="148">
                  <c:v>5.6320836725464583</c:v>
                </c:pt>
                <c:pt idx="149">
                  <c:v>5.6987929108076658</c:v>
                </c:pt>
                <c:pt idx="150">
                  <c:v>5.8415953440553166</c:v>
                </c:pt>
                <c:pt idx="151">
                  <c:v>6.055109665795948</c:v>
                </c:pt>
                <c:pt idx="152">
                  <c:v>7.5818135586384878</c:v>
                </c:pt>
                <c:pt idx="153">
                  <c:v>7.1362384251395374</c:v>
                </c:pt>
                <c:pt idx="154">
                  <c:v>6.7275569310583592</c:v>
                </c:pt>
                <c:pt idx="155">
                  <c:v>6.3628819758451005</c:v>
                </c:pt>
                <c:pt idx="156">
                  <c:v>6.0501762944683906</c:v>
                </c:pt>
                <c:pt idx="157">
                  <c:v>5.7978548384268649</c:v>
                </c:pt>
                <c:pt idx="158">
                  <c:v>5.614065339707234</c:v>
                </c:pt>
                <c:pt idx="159">
                  <c:v>5.5056752471648851</c:v>
                </c:pt>
                <c:pt idx="160">
                  <c:v>5.4771627320808971</c:v>
                </c:pt>
                <c:pt idx="161">
                  <c:v>5.5297635245874082</c:v>
                </c:pt>
                <c:pt idx="162">
                  <c:v>5.6612171005649117</c:v>
                </c:pt>
                <c:pt idx="163">
                  <c:v>5.8662249240298943</c:v>
                </c:pt>
                <c:pt idx="164">
                  <c:v>7.127716837702784</c:v>
                </c:pt>
                <c:pt idx="165">
                  <c:v>6.7053388890584262</c:v>
                </c:pt>
                <c:pt idx="166">
                  <c:v>6.3254180331007825</c:v>
                </c:pt>
                <c:pt idx="167">
                  <c:v>5.9960302156963454</c:v>
                </c:pt>
                <c:pt idx="168">
                  <c:v>5.7259029662857799</c:v>
                </c:pt>
                <c:pt idx="169">
                  <c:v>5.5237371940387199</c:v>
                </c:pt>
                <c:pt idx="170">
                  <c:v>5.3971753516078156</c:v>
                </c:pt>
                <c:pt idx="171">
                  <c:v>5.3515840964063051</c:v>
                </c:pt>
                <c:pt idx="172">
                  <c:v>5.3890188609360568</c:v>
                </c:pt>
                <c:pt idx="173">
                  <c:v>5.5077869969571225</c:v>
                </c:pt>
                <c:pt idx="174">
                  <c:v>5.7028091588168275</c:v>
                </c:pt>
                <c:pt idx="175">
                  <c:v>6.7100158436242729</c:v>
                </c:pt>
                <c:pt idx="176">
                  <c:v>6.3163878282211439</c:v>
                </c:pt>
                <c:pt idx="177">
                  <c:v>5.9717099016128854</c:v>
                </c:pt>
                <c:pt idx="178">
                  <c:v>5.6848926532743169</c:v>
                </c:pt>
                <c:pt idx="179">
                  <c:v>5.4650536307700541</c:v>
                </c:pt>
                <c:pt idx="180">
                  <c:v>5.3205017876928986</c:v>
                </c:pt>
                <c:pt idx="181">
                  <c:v>5.257450783050988</c:v>
                </c:pt>
                <c:pt idx="182">
                  <c:v>5.2788217982115375</c:v>
                </c:pt>
                <c:pt idx="183">
                  <c:v>5.3836095508546018</c:v>
                </c:pt>
                <c:pt idx="184">
                  <c:v>5.5671056566713544</c:v>
                </c:pt>
                <c:pt idx="185">
                  <c:v>6.335912937186353</c:v>
                </c:pt>
                <c:pt idx="186">
                  <c:v>5.9775794096423978</c:v>
                </c:pt>
                <c:pt idx="187">
                  <c:v>5.6754946768775891</c:v>
                </c:pt>
                <c:pt idx="188">
                  <c:v>5.4390390174791605</c:v>
                </c:pt>
                <c:pt idx="189">
                  <c:v>5.2770420140231247</c:v>
                </c:pt>
                <c:pt idx="190">
                  <c:v>5.1964719550459941</c:v>
                </c:pt>
                <c:pt idx="191">
                  <c:v>5.2011143535884274</c:v>
                </c:pt>
                <c:pt idx="192">
                  <c:v>5.2907449037292782</c:v>
                </c:pt>
                <c:pt idx="193">
                  <c:v>5.4611806536023719</c:v>
                </c:pt>
                <c:pt idx="194">
                  <c:v>6.013550340374783</c:v>
                </c:pt>
                <c:pt idx="195">
                  <c:v>5.6978654620270683</c:v>
                </c:pt>
                <c:pt idx="196">
                  <c:v>5.4461615224128224</c:v>
                </c:pt>
                <c:pt idx="197">
                  <c:v>5.2676181724541022</c:v>
                </c:pt>
                <c:pt idx="198">
                  <c:v>5.1698209322023105</c:v>
                </c:pt>
                <c:pt idx="199">
                  <c:v>5.1573653263091011</c:v>
                </c:pt>
                <c:pt idx="200">
                  <c:v>5.2308610309110035</c:v>
                </c:pt>
                <c:pt idx="201">
                  <c:v>5.3867911151353365</c:v>
                </c:pt>
                <c:pt idx="202">
                  <c:v>5.7516343301306598</c:v>
                </c:pt>
                <c:pt idx="203">
                  <c:v>5.4862920876344852</c:v>
                </c:pt>
                <c:pt idx="204">
                  <c:v>5.2924120825814081</c:v>
                </c:pt>
                <c:pt idx="205">
                  <c:v>5.1780277915994555</c:v>
                </c:pt>
                <c:pt idx="206">
                  <c:v>5.1484404771744936</c:v>
                </c:pt>
                <c:pt idx="207">
                  <c:v>5.20509637385811</c:v>
                </c:pt>
                <c:pt idx="208">
                  <c:v>5.3452538342910065</c:v>
                </c:pt>
                <c:pt idx="209">
                  <c:v>5.5587158644378567</c:v>
                </c:pt>
                <c:pt idx="210">
                  <c:v>5.3509481160837478</c:v>
                </c:pt>
                <c:pt idx="211">
                  <c:v>5.2209281548587745</c:v>
                </c:pt>
                <c:pt idx="212">
                  <c:v>5.174520000259311</c:v>
                </c:pt>
                <c:pt idx="213">
                  <c:v>5.2139567552560244</c:v>
                </c:pt>
                <c:pt idx="214">
                  <c:v>5.3373358743839576</c:v>
                </c:pt>
                <c:pt idx="215">
                  <c:v>5.4421375835482406</c:v>
                </c:pt>
                <c:pt idx="216">
                  <c:v>5.2976792498130063</c:v>
                </c:pt>
                <c:pt idx="217">
                  <c:v>5.2350807794378929</c:v>
                </c:pt>
                <c:pt idx="218">
                  <c:v>5.2572671111795852</c:v>
                </c:pt>
                <c:pt idx="219">
                  <c:v>5.3631861395117326</c:v>
                </c:pt>
                <c:pt idx="220">
                  <c:v>5.4068397162929722</c:v>
                </c:pt>
                <c:pt idx="221">
                  <c:v>5.3289473584825364</c:v>
                </c:pt>
                <c:pt idx="222">
                  <c:v>5.3341883692819358</c:v>
                </c:pt>
                <c:pt idx="223">
                  <c:v>5.422321693352127</c:v>
                </c:pt>
                <c:pt idx="224">
                  <c:v>5.4544004968279989</c:v>
                </c:pt>
                <c:pt idx="225">
                  <c:v>5.4432958111567276</c:v>
                </c:pt>
                <c:pt idx="226">
                  <c:v>5.5136716599218119</c:v>
                </c:pt>
                <c:pt idx="227">
                  <c:v>5.5827026308600383</c:v>
                </c:pt>
                <c:pt idx="228">
                  <c:v>5.6356697426955709</c:v>
                </c:pt>
                <c:pt idx="229">
                  <c:v>5.7863777419146514</c:v>
                </c:pt>
              </c:numCache>
            </c:numRef>
          </c:xVal>
          <c:yVal>
            <c:numRef>
              <c:f>'Step3 and Step4'!$I$2:$I$231</c:f>
              <c:numCache>
                <c:formatCode>0.00</c:formatCode>
                <c:ptCount val="230"/>
                <c:pt idx="0">
                  <c:v>1.0661051562499999</c:v>
                </c:pt>
                <c:pt idx="1">
                  <c:v>1.0534332708333332</c:v>
                </c:pt>
                <c:pt idx="2">
                  <c:v>1.0407613854166664</c:v>
                </c:pt>
                <c:pt idx="3">
                  <c:v>1.0280894999999997</c:v>
                </c:pt>
                <c:pt idx="4">
                  <c:v>1.0154176145833331</c:v>
                </c:pt>
                <c:pt idx="5">
                  <c:v>1.0027457291666664</c:v>
                </c:pt>
                <c:pt idx="6">
                  <c:v>0.99007384374999974</c:v>
                </c:pt>
                <c:pt idx="7">
                  <c:v>0.9774019583333331</c:v>
                </c:pt>
                <c:pt idx="8">
                  <c:v>0.96473007291666635</c:v>
                </c:pt>
                <c:pt idx="9">
                  <c:v>0.9520581874999996</c:v>
                </c:pt>
                <c:pt idx="10">
                  <c:v>0.93938630208333307</c:v>
                </c:pt>
                <c:pt idx="11">
                  <c:v>0.92671441666666632</c:v>
                </c:pt>
                <c:pt idx="12">
                  <c:v>0.91404253124999957</c:v>
                </c:pt>
                <c:pt idx="13">
                  <c:v>0.90137064583333293</c:v>
                </c:pt>
                <c:pt idx="14">
                  <c:v>0.88869876041666629</c:v>
                </c:pt>
                <c:pt idx="15">
                  <c:v>0.87602687499999965</c:v>
                </c:pt>
                <c:pt idx="16">
                  <c:v>0.86335498958333279</c:v>
                </c:pt>
                <c:pt idx="17">
                  <c:v>0.85068310416666626</c:v>
                </c:pt>
                <c:pt idx="18">
                  <c:v>0.83801121874999951</c:v>
                </c:pt>
                <c:pt idx="19">
                  <c:v>0.82533933333333287</c:v>
                </c:pt>
                <c:pt idx="20">
                  <c:v>1.0539808312499999</c:v>
                </c:pt>
                <c:pt idx="21">
                  <c:v>1.0413089458333331</c:v>
                </c:pt>
                <c:pt idx="22">
                  <c:v>1.0286370604166664</c:v>
                </c:pt>
                <c:pt idx="23">
                  <c:v>1.0159651749999998</c:v>
                </c:pt>
                <c:pt idx="24">
                  <c:v>1.0032932895833331</c:v>
                </c:pt>
                <c:pt idx="25">
                  <c:v>0.99062140416666633</c:v>
                </c:pt>
                <c:pt idx="26">
                  <c:v>0.9779495187499998</c:v>
                </c:pt>
                <c:pt idx="27">
                  <c:v>0.96527763333333305</c:v>
                </c:pt>
                <c:pt idx="28">
                  <c:v>0.95260574791666652</c:v>
                </c:pt>
                <c:pt idx="29">
                  <c:v>0.93993386249999977</c:v>
                </c:pt>
                <c:pt idx="30">
                  <c:v>0.92726197708333302</c:v>
                </c:pt>
                <c:pt idx="31">
                  <c:v>0.91459009166666638</c:v>
                </c:pt>
                <c:pt idx="32">
                  <c:v>0.90191820624999952</c:v>
                </c:pt>
                <c:pt idx="33">
                  <c:v>0.88924632083333299</c:v>
                </c:pt>
                <c:pt idx="34">
                  <c:v>0.87657443541666624</c:v>
                </c:pt>
                <c:pt idx="35">
                  <c:v>0.8639025499999996</c:v>
                </c:pt>
                <c:pt idx="36">
                  <c:v>0.85123066458333296</c:v>
                </c:pt>
                <c:pt idx="37">
                  <c:v>0.83855877916666621</c:v>
                </c:pt>
                <c:pt idx="38">
                  <c:v>0.82588689374999968</c:v>
                </c:pt>
                <c:pt idx="39">
                  <c:v>0.81321500833333293</c:v>
                </c:pt>
                <c:pt idx="40">
                  <c:v>1.0291846208333331</c:v>
                </c:pt>
                <c:pt idx="41">
                  <c:v>1.0165127354166663</c:v>
                </c:pt>
                <c:pt idx="42">
                  <c:v>1.0038408499999998</c:v>
                </c:pt>
                <c:pt idx="43">
                  <c:v>0.99116896458333315</c:v>
                </c:pt>
                <c:pt idx="44">
                  <c:v>0.97849707916666651</c:v>
                </c:pt>
                <c:pt idx="45">
                  <c:v>0.96582519374999976</c:v>
                </c:pt>
                <c:pt idx="46">
                  <c:v>0.953153308333333</c:v>
                </c:pt>
                <c:pt idx="47">
                  <c:v>0.94048142291666648</c:v>
                </c:pt>
                <c:pt idx="48">
                  <c:v>0.92780953749999973</c:v>
                </c:pt>
                <c:pt idx="49">
                  <c:v>0.91513765208333298</c:v>
                </c:pt>
                <c:pt idx="50">
                  <c:v>0.90246576666666634</c:v>
                </c:pt>
                <c:pt idx="51">
                  <c:v>0.8897938812499997</c:v>
                </c:pt>
                <c:pt idx="52">
                  <c:v>0.87712199583333295</c:v>
                </c:pt>
                <c:pt idx="53">
                  <c:v>0.86445011041666642</c:v>
                </c:pt>
                <c:pt idx="54">
                  <c:v>0.85177822499999967</c:v>
                </c:pt>
                <c:pt idx="55">
                  <c:v>0.83910633958333292</c:v>
                </c:pt>
                <c:pt idx="56">
                  <c:v>0.82643445416666639</c:v>
                </c:pt>
                <c:pt idx="57">
                  <c:v>0.81376256874999964</c:v>
                </c:pt>
                <c:pt idx="58">
                  <c:v>0.801090683333333</c:v>
                </c:pt>
                <c:pt idx="59">
                  <c:v>1.0043884104166665</c:v>
                </c:pt>
                <c:pt idx="60">
                  <c:v>0.99171652499999985</c:v>
                </c:pt>
                <c:pt idx="61">
                  <c:v>0.97904463958333321</c:v>
                </c:pt>
                <c:pt idx="62">
                  <c:v>0.96637275416666646</c:v>
                </c:pt>
                <c:pt idx="63">
                  <c:v>0.95370086874999982</c:v>
                </c:pt>
                <c:pt idx="64">
                  <c:v>0.94102898333333307</c:v>
                </c:pt>
                <c:pt idx="65">
                  <c:v>0.92835709791666643</c:v>
                </c:pt>
                <c:pt idx="66">
                  <c:v>0.91568521249999968</c:v>
                </c:pt>
                <c:pt idx="67">
                  <c:v>0.90301332708333315</c:v>
                </c:pt>
                <c:pt idx="68">
                  <c:v>0.8903414416666664</c:v>
                </c:pt>
                <c:pt idx="69">
                  <c:v>0.87766955624999965</c:v>
                </c:pt>
                <c:pt idx="70">
                  <c:v>0.86499767083333301</c:v>
                </c:pt>
                <c:pt idx="71">
                  <c:v>0.85232578541666637</c:v>
                </c:pt>
                <c:pt idx="72">
                  <c:v>0.83965389999999962</c:v>
                </c:pt>
                <c:pt idx="73">
                  <c:v>0.82698201458333309</c:v>
                </c:pt>
                <c:pt idx="74">
                  <c:v>0.81431012916666623</c:v>
                </c:pt>
                <c:pt idx="75">
                  <c:v>0.80163824374999959</c:v>
                </c:pt>
                <c:pt idx="76">
                  <c:v>0.78896635833333284</c:v>
                </c:pt>
                <c:pt idx="77">
                  <c:v>0.97959219999999991</c:v>
                </c:pt>
                <c:pt idx="78">
                  <c:v>0.96692031458333327</c:v>
                </c:pt>
                <c:pt idx="79">
                  <c:v>0.95424842916666652</c:v>
                </c:pt>
                <c:pt idx="80">
                  <c:v>0.94157654374999988</c:v>
                </c:pt>
                <c:pt idx="81">
                  <c:v>0.92890465833333313</c:v>
                </c:pt>
                <c:pt idx="82">
                  <c:v>0.91623277291666649</c:v>
                </c:pt>
                <c:pt idx="83">
                  <c:v>0.90356088749999974</c:v>
                </c:pt>
                <c:pt idx="84">
                  <c:v>0.8908890020833331</c:v>
                </c:pt>
                <c:pt idx="85">
                  <c:v>0.87821711666666646</c:v>
                </c:pt>
                <c:pt idx="86">
                  <c:v>0.86554523124999982</c:v>
                </c:pt>
                <c:pt idx="87">
                  <c:v>0.85287334583333307</c:v>
                </c:pt>
                <c:pt idx="88">
                  <c:v>0.84020146041666632</c:v>
                </c:pt>
                <c:pt idx="89">
                  <c:v>0.82752957499999968</c:v>
                </c:pt>
                <c:pt idx="90">
                  <c:v>0.81485768958333304</c:v>
                </c:pt>
                <c:pt idx="91">
                  <c:v>0.80218580416666641</c:v>
                </c:pt>
                <c:pt idx="92">
                  <c:v>0.78951391874999954</c:v>
                </c:pt>
                <c:pt idx="93">
                  <c:v>0.77684203333333302</c:v>
                </c:pt>
                <c:pt idx="94">
                  <c:v>0.95479598958333323</c:v>
                </c:pt>
                <c:pt idx="95">
                  <c:v>0.94212410416666659</c:v>
                </c:pt>
                <c:pt idx="96">
                  <c:v>0.92945221874999984</c:v>
                </c:pt>
                <c:pt idx="97">
                  <c:v>0.91678033333333309</c:v>
                </c:pt>
                <c:pt idx="98">
                  <c:v>0.90410844791666656</c:v>
                </c:pt>
                <c:pt idx="99">
                  <c:v>0.89143656249999981</c:v>
                </c:pt>
                <c:pt idx="100">
                  <c:v>0.87876467708333306</c:v>
                </c:pt>
                <c:pt idx="101">
                  <c:v>0.86609279166666642</c:v>
                </c:pt>
                <c:pt idx="102">
                  <c:v>0.85342090624999978</c:v>
                </c:pt>
                <c:pt idx="103">
                  <c:v>0.84074902083333314</c:v>
                </c:pt>
                <c:pt idx="104">
                  <c:v>0.8280771354166665</c:v>
                </c:pt>
                <c:pt idx="105">
                  <c:v>0.81540524999999975</c:v>
                </c:pt>
                <c:pt idx="106">
                  <c:v>0.802733364583333</c:v>
                </c:pt>
                <c:pt idx="107">
                  <c:v>0.79006147916666636</c:v>
                </c:pt>
                <c:pt idx="108">
                  <c:v>0.77738959374999972</c:v>
                </c:pt>
                <c:pt idx="109">
                  <c:v>0.76471770833333297</c:v>
                </c:pt>
                <c:pt idx="110">
                  <c:v>0.92999977916666654</c:v>
                </c:pt>
                <c:pt idx="111">
                  <c:v>0.9173278937499999</c:v>
                </c:pt>
                <c:pt idx="112">
                  <c:v>0.90465600833333326</c:v>
                </c:pt>
                <c:pt idx="113">
                  <c:v>0.89198412291666651</c:v>
                </c:pt>
                <c:pt idx="114">
                  <c:v>0.87931223749999987</c:v>
                </c:pt>
                <c:pt idx="115">
                  <c:v>0.86664035208333323</c:v>
                </c:pt>
                <c:pt idx="116">
                  <c:v>0.85396846666666648</c:v>
                </c:pt>
                <c:pt idx="117">
                  <c:v>0.84129658124999973</c:v>
                </c:pt>
                <c:pt idx="118">
                  <c:v>0.82862469583333309</c:v>
                </c:pt>
                <c:pt idx="119">
                  <c:v>0.81595281041666645</c:v>
                </c:pt>
                <c:pt idx="120">
                  <c:v>0.8032809249999997</c:v>
                </c:pt>
                <c:pt idx="121">
                  <c:v>0.79060903958333317</c:v>
                </c:pt>
                <c:pt idx="122">
                  <c:v>0.77793715416666631</c:v>
                </c:pt>
                <c:pt idx="123">
                  <c:v>0.76526526874999967</c:v>
                </c:pt>
                <c:pt idx="124">
                  <c:v>0.75259338333333303</c:v>
                </c:pt>
                <c:pt idx="125">
                  <c:v>0.90520356874999996</c:v>
                </c:pt>
                <c:pt idx="126">
                  <c:v>0.89253168333333321</c:v>
                </c:pt>
                <c:pt idx="127">
                  <c:v>0.87985979791666658</c:v>
                </c:pt>
                <c:pt idx="128">
                  <c:v>0.86718791249999982</c:v>
                </c:pt>
                <c:pt idx="129">
                  <c:v>0.85451602708333319</c:v>
                </c:pt>
                <c:pt idx="130">
                  <c:v>0.84184414166666643</c:v>
                </c:pt>
                <c:pt idx="131">
                  <c:v>0.8291722562499998</c:v>
                </c:pt>
                <c:pt idx="132">
                  <c:v>0.81650037083333316</c:v>
                </c:pt>
                <c:pt idx="133">
                  <c:v>0.80382848541666641</c:v>
                </c:pt>
                <c:pt idx="134">
                  <c:v>0.79115659999999977</c:v>
                </c:pt>
                <c:pt idx="135">
                  <c:v>0.77848471458333313</c:v>
                </c:pt>
                <c:pt idx="136">
                  <c:v>0.76581282916666649</c:v>
                </c:pt>
                <c:pt idx="137">
                  <c:v>0.75314094374999963</c:v>
                </c:pt>
                <c:pt idx="138">
                  <c:v>0.7404690583333331</c:v>
                </c:pt>
                <c:pt idx="139">
                  <c:v>0.88040735833333328</c:v>
                </c:pt>
                <c:pt idx="140">
                  <c:v>0.86773547291666664</c:v>
                </c:pt>
                <c:pt idx="141">
                  <c:v>0.85506358749999989</c:v>
                </c:pt>
                <c:pt idx="142">
                  <c:v>0.84239170208333325</c:v>
                </c:pt>
                <c:pt idx="143">
                  <c:v>0.82971981666666661</c:v>
                </c:pt>
                <c:pt idx="144">
                  <c:v>0.81704793124999986</c:v>
                </c:pt>
                <c:pt idx="145">
                  <c:v>0.80437604583333322</c:v>
                </c:pt>
                <c:pt idx="146">
                  <c:v>0.79170416041666658</c:v>
                </c:pt>
                <c:pt idx="147">
                  <c:v>0.77903227499999983</c:v>
                </c:pt>
                <c:pt idx="148">
                  <c:v>0.7663603895833333</c:v>
                </c:pt>
                <c:pt idx="149">
                  <c:v>0.75368850416666644</c:v>
                </c:pt>
                <c:pt idx="150">
                  <c:v>0.7410166187499998</c:v>
                </c:pt>
                <c:pt idx="151">
                  <c:v>0.72834473333333305</c:v>
                </c:pt>
                <c:pt idx="152">
                  <c:v>0.85561114791666659</c:v>
                </c:pt>
                <c:pt idx="153">
                  <c:v>0.84293926249999984</c:v>
                </c:pt>
                <c:pt idx="154">
                  <c:v>0.83026737708333331</c:v>
                </c:pt>
                <c:pt idx="155">
                  <c:v>0.81759549166666656</c:v>
                </c:pt>
                <c:pt idx="156">
                  <c:v>0.80492360624999981</c:v>
                </c:pt>
                <c:pt idx="157">
                  <c:v>0.79225172083333317</c:v>
                </c:pt>
                <c:pt idx="158">
                  <c:v>0.77957983541666653</c:v>
                </c:pt>
                <c:pt idx="159">
                  <c:v>0.76690794999999978</c:v>
                </c:pt>
                <c:pt idx="160">
                  <c:v>0.75423606458333325</c:v>
                </c:pt>
                <c:pt idx="161">
                  <c:v>0.7415641791666665</c:v>
                </c:pt>
                <c:pt idx="162">
                  <c:v>0.72889229374999975</c:v>
                </c:pt>
                <c:pt idx="163">
                  <c:v>0.71622040833333322</c:v>
                </c:pt>
                <c:pt idx="164">
                  <c:v>0.83081493750000002</c:v>
                </c:pt>
                <c:pt idx="165">
                  <c:v>0.81814305208333327</c:v>
                </c:pt>
                <c:pt idx="166">
                  <c:v>0.80547116666666663</c:v>
                </c:pt>
                <c:pt idx="167">
                  <c:v>0.79279928124999999</c:v>
                </c:pt>
                <c:pt idx="168">
                  <c:v>0.78012739583333324</c:v>
                </c:pt>
                <c:pt idx="169">
                  <c:v>0.76745551041666649</c:v>
                </c:pt>
                <c:pt idx="170">
                  <c:v>0.75478362499999985</c:v>
                </c:pt>
                <c:pt idx="171">
                  <c:v>0.74211173958333321</c:v>
                </c:pt>
                <c:pt idx="172">
                  <c:v>0.72943985416666657</c:v>
                </c:pt>
                <c:pt idx="173">
                  <c:v>0.71676796874999993</c:v>
                </c:pt>
                <c:pt idx="174">
                  <c:v>0.70409608333333318</c:v>
                </c:pt>
                <c:pt idx="175">
                  <c:v>0.80601872708333333</c:v>
                </c:pt>
                <c:pt idx="176">
                  <c:v>0.79334684166666669</c:v>
                </c:pt>
                <c:pt idx="177">
                  <c:v>0.78067495624999994</c:v>
                </c:pt>
                <c:pt idx="178">
                  <c:v>0.7680030708333333</c:v>
                </c:pt>
                <c:pt idx="179">
                  <c:v>0.75533118541666666</c:v>
                </c:pt>
                <c:pt idx="180">
                  <c:v>0.74265929999999991</c:v>
                </c:pt>
                <c:pt idx="181">
                  <c:v>0.72998741458333316</c:v>
                </c:pt>
                <c:pt idx="182">
                  <c:v>0.71731552916666652</c:v>
                </c:pt>
                <c:pt idx="183">
                  <c:v>0.70464364374999988</c:v>
                </c:pt>
                <c:pt idx="184">
                  <c:v>0.69197175833333324</c:v>
                </c:pt>
                <c:pt idx="185">
                  <c:v>0.78122251666666664</c:v>
                </c:pt>
                <c:pt idx="186">
                  <c:v>0.76855063124999989</c:v>
                </c:pt>
                <c:pt idx="187">
                  <c:v>0.75587874583333337</c:v>
                </c:pt>
                <c:pt idx="188">
                  <c:v>0.74320686041666661</c:v>
                </c:pt>
                <c:pt idx="189">
                  <c:v>0.73053497499999998</c:v>
                </c:pt>
                <c:pt idx="190">
                  <c:v>0.71786308958333334</c:v>
                </c:pt>
                <c:pt idx="191">
                  <c:v>0.70519120416666659</c:v>
                </c:pt>
                <c:pt idx="192">
                  <c:v>0.69251931874999983</c:v>
                </c:pt>
                <c:pt idx="193">
                  <c:v>0.67984743333333331</c:v>
                </c:pt>
                <c:pt idx="194">
                  <c:v>0.75642630625000007</c:v>
                </c:pt>
                <c:pt idx="195">
                  <c:v>0.74375442083333332</c:v>
                </c:pt>
                <c:pt idx="196">
                  <c:v>0.73108253541666668</c:v>
                </c:pt>
                <c:pt idx="197">
                  <c:v>0.71841064999999993</c:v>
                </c:pt>
                <c:pt idx="198">
                  <c:v>0.70573876458333329</c:v>
                </c:pt>
                <c:pt idx="199">
                  <c:v>0.69306687916666665</c:v>
                </c:pt>
                <c:pt idx="200">
                  <c:v>0.68039499375000001</c:v>
                </c:pt>
                <c:pt idx="201">
                  <c:v>0.66772310833333326</c:v>
                </c:pt>
                <c:pt idx="202">
                  <c:v>0.73163009583333327</c:v>
                </c:pt>
                <c:pt idx="203">
                  <c:v>0.71895821041666663</c:v>
                </c:pt>
                <c:pt idx="204">
                  <c:v>0.70628632499999999</c:v>
                </c:pt>
                <c:pt idx="205">
                  <c:v>0.69361443958333324</c:v>
                </c:pt>
                <c:pt idx="206">
                  <c:v>0.6809425541666666</c:v>
                </c:pt>
                <c:pt idx="207">
                  <c:v>0.66827066874999996</c:v>
                </c:pt>
                <c:pt idx="208">
                  <c:v>0.65559878333333321</c:v>
                </c:pt>
                <c:pt idx="209">
                  <c:v>0.7068338854166667</c:v>
                </c:pt>
                <c:pt idx="210">
                  <c:v>0.69416200000000006</c:v>
                </c:pt>
                <c:pt idx="211">
                  <c:v>0.68149011458333342</c:v>
                </c:pt>
                <c:pt idx="212">
                  <c:v>0.66881822916666667</c:v>
                </c:pt>
                <c:pt idx="213">
                  <c:v>0.65614634375000014</c:v>
                </c:pt>
                <c:pt idx="214">
                  <c:v>0.64347445833333339</c:v>
                </c:pt>
                <c:pt idx="215">
                  <c:v>0.68203767500000012</c:v>
                </c:pt>
                <c:pt idx="216">
                  <c:v>0.66936578958333337</c:v>
                </c:pt>
                <c:pt idx="217">
                  <c:v>0.65669390416666673</c:v>
                </c:pt>
                <c:pt idx="218">
                  <c:v>0.64402201875000009</c:v>
                </c:pt>
                <c:pt idx="219">
                  <c:v>0.63135013333333345</c:v>
                </c:pt>
                <c:pt idx="220">
                  <c:v>0.65724146458333343</c:v>
                </c:pt>
                <c:pt idx="221">
                  <c:v>0.6445695791666668</c:v>
                </c:pt>
                <c:pt idx="222">
                  <c:v>0.63189769375000004</c:v>
                </c:pt>
                <c:pt idx="223">
                  <c:v>0.61922580833333341</c:v>
                </c:pt>
                <c:pt idx="224">
                  <c:v>0.63244525416666675</c:v>
                </c:pt>
                <c:pt idx="225">
                  <c:v>0.61977336875</c:v>
                </c:pt>
                <c:pt idx="226">
                  <c:v>0.60710148333333336</c:v>
                </c:pt>
                <c:pt idx="227">
                  <c:v>0.60764904375000017</c:v>
                </c:pt>
                <c:pt idx="228">
                  <c:v>0.59497715833333342</c:v>
                </c:pt>
                <c:pt idx="229">
                  <c:v>0.58285283333333349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45-45A6-8034-16346F2BBCAE}"/>
            </c:ext>
          </c:extLst>
        </c:ser>
        <c:ser>
          <c:idx val="1"/>
          <c:order val="1"/>
          <c:tx>
            <c:v>S&amp;P Index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1"/>
              <c:pt idx="0">
                <c:v>4.33</c:v>
              </c:pt>
            </c:numLit>
          </c:xVal>
          <c:yVal>
            <c:numLit>
              <c:formatCode>General</c:formatCode>
              <c:ptCount val="1"/>
              <c:pt idx="0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6F45-45A6-8034-16346F2BBC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76680687"/>
        <c:axId val="476681647"/>
      </c:scatterChart>
      <c:valAx>
        <c:axId val="4766806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Standard Deviation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81647"/>
        <c:crosses val="autoZero"/>
        <c:crossBetween val="midCat"/>
      </c:valAx>
      <c:valAx>
        <c:axId val="47668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Mean 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806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'Step3 and Step4'!$I$1</c:f>
              <c:strCache>
                <c:ptCount val="1"/>
                <c:pt idx="0">
                  <c:v>Mean Returns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'Step3 and Step4'!$H$2:$H$231</c:f>
              <c:numCache>
                <c:formatCode>0.00</c:formatCode>
                <c:ptCount val="230"/>
                <c:pt idx="0">
                  <c:v>12.04504167995238</c:v>
                </c:pt>
                <c:pt idx="1">
                  <c:v>11.531702822502329</c:v>
                </c:pt>
                <c:pt idx="2">
                  <c:v>11.034918770835425</c:v>
                </c:pt>
                <c:pt idx="3">
                  <c:v>10.557026851773829</c:v>
                </c:pt>
                <c:pt idx="4">
                  <c:v>10.100708935362949</c:v>
                </c:pt>
                <c:pt idx="5">
                  <c:v>9.6690199825255281</c:v>
                </c:pt>
                <c:pt idx="6">
                  <c:v>9.265403133471569</c:v>
                </c:pt>
                <c:pt idx="7">
                  <c:v>8.8936811504978781</c:v>
                </c:pt>
                <c:pt idx="8">
                  <c:v>8.5580111571209994</c:v>
                </c:pt>
                <c:pt idx="9">
                  <c:v>8.2627880828327864</c:v>
                </c:pt>
                <c:pt idx="10">
                  <c:v>8.0124840228177199</c:v>
                </c:pt>
                <c:pt idx="11">
                  <c:v>7.8114182392011697</c:v>
                </c:pt>
                <c:pt idx="12">
                  <c:v>7.6634672947204443</c:v>
                </c:pt>
                <c:pt idx="13">
                  <c:v>7.5717454014569716</c:v>
                </c:pt>
                <c:pt idx="14">
                  <c:v>7.5383053300744898</c:v>
                </c:pt>
                <c:pt idx="15">
                  <c:v>7.5639201114292494</c:v>
                </c:pt>
                <c:pt idx="16">
                  <c:v>7.6479964064091961</c:v>
                </c:pt>
                <c:pt idx="17">
                  <c:v>7.7886412159324587</c:v>
                </c:pt>
                <c:pt idx="18">
                  <c:v>7.9828651702446685</c:v>
                </c:pt>
                <c:pt idx="19">
                  <c:v>8.22687437851088</c:v>
                </c:pt>
                <c:pt idx="20">
                  <c:v>11.970915863500268</c:v>
                </c:pt>
                <c:pt idx="21">
                  <c:v>11.446530759325055</c:v>
                </c:pt>
                <c:pt idx="22">
                  <c:v>10.937798115482687</c:v>
                </c:pt>
                <c:pt idx="23">
                  <c:v>10.447004842712023</c:v>
                </c:pt>
                <c:pt idx="24">
                  <c:v>9.9767987916941525</c:v>
                </c:pt>
                <c:pt idx="25">
                  <c:v>9.5302276706257736</c:v>
                </c:pt>
                <c:pt idx="26">
                  <c:v>9.1107675942086317</c:v>
                </c:pt>
                <c:pt idx="27">
                  <c:v>8.7223307799643095</c:v>
                </c:pt>
                <c:pt idx="28">
                  <c:v>8.3692379397561201</c:v>
                </c:pt>
                <c:pt idx="29">
                  <c:v>8.0561376929086439</c:v>
                </c:pt>
                <c:pt idx="30">
                  <c:v>7.7878550795237143</c:v>
                </c:pt>
                <c:pt idx="31">
                  <c:v>7.5691571743446415</c:v>
                </c:pt>
                <c:pt idx="32">
                  <c:v>7.4044388914969321</c:v>
                </c:pt>
                <c:pt idx="33">
                  <c:v>7.2973564832479871</c:v>
                </c:pt>
                <c:pt idx="34">
                  <c:v>7.2504640794227964</c:v>
                </c:pt>
                <c:pt idx="35">
                  <c:v>7.2649272858101508</c:v>
                </c:pt>
                <c:pt idx="36">
                  <c:v>7.3403834332361111</c:v>
                </c:pt>
                <c:pt idx="37">
                  <c:v>7.4749856724581889</c:v>
                </c:pt>
                <c:pt idx="38">
                  <c:v>7.6656189598552951</c:v>
                </c:pt>
                <c:pt idx="39">
                  <c:v>7.9082323340706475</c:v>
                </c:pt>
                <c:pt idx="40">
                  <c:v>11.376605755229573</c:v>
                </c:pt>
                <c:pt idx="41">
                  <c:v>10.856455158073413</c:v>
                </c:pt>
                <c:pt idx="42">
                  <c:v>10.353270018033182</c:v>
                </c:pt>
                <c:pt idx="43">
                  <c:v>9.8696455311759017</c:v>
                </c:pt>
                <c:pt idx="44">
                  <c:v>9.408598574364083</c:v>
                </c:pt>
                <c:pt idx="45">
                  <c:v>8.9736097939291426</c:v>
                </c:pt>
                <c:pt idx="46">
                  <c:v>8.5686486514260753</c:v>
                </c:pt>
                <c:pt idx="47">
                  <c:v>8.1981661404963297</c:v>
                </c:pt>
                <c:pt idx="48">
                  <c:v>7.867034879831464</c:v>
                </c:pt>
                <c:pt idx="49">
                  <c:v>7.5804135053108377</c:v>
                </c:pt>
                <c:pt idx="50">
                  <c:v>7.34351560223186</c:v>
                </c:pt>
                <c:pt idx="51">
                  <c:v>7.1612774884552763</c:v>
                </c:pt>
                <c:pt idx="52">
                  <c:v>7.0379464697310388</c:v>
                </c:pt>
                <c:pt idx="53">
                  <c:v>6.9766472701902176</c:v>
                </c:pt>
                <c:pt idx="54">
                  <c:v>6.9790146247314429</c:v>
                </c:pt>
                <c:pt idx="55">
                  <c:v>7.0449843512592603</c:v>
                </c:pt>
                <c:pt idx="56">
                  <c:v>7.1728017722832744</c:v>
                </c:pt>
                <c:pt idx="57">
                  <c:v>7.3592450290204381</c:v>
                </c:pt>
                <c:pt idx="58">
                  <c:v>7.6000007176028435</c:v>
                </c:pt>
                <c:pt idx="59">
                  <c:v>10.791246694962659</c:v>
                </c:pt>
                <c:pt idx="60">
                  <c:v>10.276268077324701</c:v>
                </c:pt>
                <c:pt idx="61">
                  <c:v>9.779799964224857</c:v>
                </c:pt>
                <c:pt idx="62">
                  <c:v>9.3048057723507647</c:v>
                </c:pt>
                <c:pt idx="63">
                  <c:v>8.8547419476685754</c:v>
                </c:pt>
                <c:pt idx="64">
                  <c:v>8.4336007040967083</c:v>
                </c:pt>
                <c:pt idx="65">
                  <c:v>8.0459249368975172</c:v>
                </c:pt>
                <c:pt idx="66">
                  <c:v>7.6967731369677148</c:v>
                </c:pt>
                <c:pt idx="67">
                  <c:v>7.391606505450361</c:v>
                </c:pt>
                <c:pt idx="68">
                  <c:v>7.1360702153632225</c:v>
                </c:pt>
                <c:pt idx="69">
                  <c:v>6.9356521599256853</c:v>
                </c:pt>
                <c:pt idx="70">
                  <c:v>6.7952310502351052</c:v>
                </c:pt>
                <c:pt idx="71">
                  <c:v>6.7185698289432461</c:v>
                </c:pt>
                <c:pt idx="72">
                  <c:v>6.707854906332086</c:v>
                </c:pt>
                <c:pt idx="73">
                  <c:v>6.7633997161287231</c:v>
                </c:pt>
                <c:pt idx="74">
                  <c:v>6.8836004658584384</c:v>
                </c:pt>
                <c:pt idx="75">
                  <c:v>7.0651579178892137</c:v>
                </c:pt>
                <c:pt idx="76">
                  <c:v>7.3034977109305999</c:v>
                </c:pt>
                <c:pt idx="77">
                  <c:v>10.216377380258725</c:v>
                </c:pt>
                <c:pt idx="78">
                  <c:v>9.7077426530335131</c:v>
                </c:pt>
                <c:pt idx="79">
                  <c:v>9.2194516885170508</c:v>
                </c:pt>
                <c:pt idx="80">
                  <c:v>8.7549090705719745</c:v>
                </c:pt>
                <c:pt idx="81">
                  <c:v>8.3180945900354288</c:v>
                </c:pt>
                <c:pt idx="82">
                  <c:v>7.9136011879093102</c:v>
                </c:pt>
                <c:pt idx="83">
                  <c:v>7.546627809259733</c:v>
                </c:pt>
                <c:pt idx="84">
                  <c:v>7.2228955550675655</c:v>
                </c:pt>
                <c:pt idx="85">
                  <c:v>6.9484509414003197</c:v>
                </c:pt>
                <c:pt idx="86">
                  <c:v>6.7293270204671192</c:v>
                </c:pt>
                <c:pt idx="87">
                  <c:v>6.5710604311207277</c:v>
                </c:pt>
                <c:pt idx="88">
                  <c:v>6.4781131209791267</c:v>
                </c:pt>
                <c:pt idx="89">
                  <c:v>6.4533080977645128</c:v>
                </c:pt>
                <c:pt idx="90">
                  <c:v>6.4974258425051596</c:v>
                </c:pt>
                <c:pt idx="91">
                  <c:v>6.6090862553566714</c:v>
                </c:pt>
                <c:pt idx="92">
                  <c:v>6.7849554943525447</c:v>
                </c:pt>
                <c:pt idx="93">
                  <c:v>7.0202095672176945</c:v>
                </c:pt>
                <c:pt idx="94">
                  <c:v>9.6538719249263565</c:v>
                </c:pt>
                <c:pt idx="95">
                  <c:v>9.1530521718555313</c:v>
                </c:pt>
                <c:pt idx="96">
                  <c:v>8.6747683747894353</c:v>
                </c:pt>
                <c:pt idx="97">
                  <c:v>8.2229538506241404</c:v>
                </c:pt>
                <c:pt idx="98">
                  <c:v>7.8022083463883174</c:v>
                </c:pt>
                <c:pt idx="99">
                  <c:v>7.4178205363245615</c:v>
                </c:pt>
                <c:pt idx="100">
                  <c:v>7.0757182897211948</c:v>
                </c:pt>
                <c:pt idx="101">
                  <c:v>6.7823033329084739</c:v>
                </c:pt>
                <c:pt idx="102">
                  <c:v>6.5441278304581951</c:v>
                </c:pt>
                <c:pt idx="103">
                  <c:v>6.3673935798632169</c:v>
                </c:pt>
                <c:pt idx="104">
                  <c:v>6.2573088718792578</c:v>
                </c:pt>
                <c:pt idx="105">
                  <c:v>6.2174149783510648</c:v>
                </c:pt>
                <c:pt idx="106">
                  <c:v>6.2490563356125373</c:v>
                </c:pt>
                <c:pt idx="107">
                  <c:v>6.3511638725515471</c:v>
                </c:pt>
                <c:pt idx="108">
                  <c:v>6.5204280046679814</c:v>
                </c:pt>
                <c:pt idx="109">
                  <c:v>6.7517998763161442</c:v>
                </c:pt>
                <c:pt idx="110">
                  <c:v>9.1060218719592427</c:v>
                </c:pt>
                <c:pt idx="111">
                  <c:v>8.6148694433863593</c:v>
                </c:pt>
                <c:pt idx="112">
                  <c:v>8.1488918325311932</c:v>
                </c:pt>
                <c:pt idx="113">
                  <c:v>7.7126533727184281</c:v>
                </c:pt>
                <c:pt idx="114">
                  <c:v>7.3114791509533834</c:v>
                </c:pt>
                <c:pt idx="115">
                  <c:v>6.9514425898267191</c:v>
                </c:pt>
                <c:pt idx="116">
                  <c:v>6.6392395771049975</c:v>
                </c:pt>
                <c:pt idx="117">
                  <c:v>6.3818940466328344</c:v>
                </c:pt>
                <c:pt idx="118">
                  <c:v>6.1862559323396589</c:v>
                </c:pt>
                <c:pt idx="119">
                  <c:v>6.0583062547280804</c:v>
                </c:pt>
                <c:pt idx="120">
                  <c:v>6.0023752189826372</c:v>
                </c:pt>
                <c:pt idx="121">
                  <c:v>6.0204703504415722</c:v>
                </c:pt>
                <c:pt idx="122">
                  <c:v>6.1119341938002734</c:v>
                </c:pt>
                <c:pt idx="123">
                  <c:v>6.2735585847151922</c:v>
                </c:pt>
                <c:pt idx="124">
                  <c:v>6.5001120313477747</c:v>
                </c:pt>
                <c:pt idx="125">
                  <c:v>8.5756364396479992</c:v>
                </c:pt>
                <c:pt idx="126">
                  <c:v>8.0964870045702142</c:v>
                </c:pt>
                <c:pt idx="127">
                  <c:v>7.645703673504479</c:v>
                </c:pt>
                <c:pt idx="128">
                  <c:v>7.228595222352344</c:v>
                </c:pt>
                <c:pt idx="129">
                  <c:v>6.8513148002336113</c:v>
                </c:pt>
                <c:pt idx="130">
                  <c:v>6.5207792074946722</c:v>
                </c:pt>
                <c:pt idx="131">
                  <c:v>6.2444158919469235</c:v>
                </c:pt>
                <c:pt idx="132">
                  <c:v>6.0296782308854162</c:v>
                </c:pt>
                <c:pt idx="133">
                  <c:v>5.8833179994062377</c:v>
                </c:pt>
                <c:pt idx="134">
                  <c:v>5.8105045541649023</c:v>
                </c:pt>
                <c:pt idx="135">
                  <c:v>5.8140018097274844</c:v>
                </c:pt>
                <c:pt idx="136">
                  <c:v>5.8936739213132245</c:v>
                </c:pt>
                <c:pt idx="137">
                  <c:v>6.046510474292627</c:v>
                </c:pt>
                <c:pt idx="138">
                  <c:v>6.2671609934964208</c:v>
                </c:pt>
                <c:pt idx="139">
                  <c:v>8.0661614898374481</c:v>
                </c:pt>
                <c:pt idx="140">
                  <c:v>7.6019565196373211</c:v>
                </c:pt>
                <c:pt idx="141">
                  <c:v>7.1699822908069875</c:v>
                </c:pt>
                <c:pt idx="142">
                  <c:v>6.7764054300362648</c:v>
                </c:pt>
                <c:pt idx="143">
                  <c:v>6.4282825413693416</c:v>
                </c:pt>
                <c:pt idx="144">
                  <c:v>6.1333582716838349</c:v>
                </c:pt>
                <c:pt idx="145">
                  <c:v>5.8996162861410646</c:v>
                </c:pt>
                <c:pt idx="146">
                  <c:v>5.7345429056097386</c:v>
                </c:pt>
                <c:pt idx="147">
                  <c:v>5.6441663446931498</c:v>
                </c:pt>
                <c:pt idx="148">
                  <c:v>5.6320836725464583</c:v>
                </c:pt>
                <c:pt idx="149">
                  <c:v>5.6987929108076658</c:v>
                </c:pt>
                <c:pt idx="150">
                  <c:v>5.8415953440553166</c:v>
                </c:pt>
                <c:pt idx="151">
                  <c:v>6.055109665795948</c:v>
                </c:pt>
                <c:pt idx="152">
                  <c:v>7.5818135586384878</c:v>
                </c:pt>
                <c:pt idx="153">
                  <c:v>7.1362384251395374</c:v>
                </c:pt>
                <c:pt idx="154">
                  <c:v>6.7275569310583592</c:v>
                </c:pt>
                <c:pt idx="155">
                  <c:v>6.3628819758451005</c:v>
                </c:pt>
                <c:pt idx="156">
                  <c:v>6.0501762944683906</c:v>
                </c:pt>
                <c:pt idx="157">
                  <c:v>5.7978548384268649</c:v>
                </c:pt>
                <c:pt idx="158">
                  <c:v>5.614065339707234</c:v>
                </c:pt>
                <c:pt idx="159">
                  <c:v>5.5056752471648851</c:v>
                </c:pt>
                <c:pt idx="160">
                  <c:v>5.4771627320808971</c:v>
                </c:pt>
                <c:pt idx="161">
                  <c:v>5.5297635245874082</c:v>
                </c:pt>
                <c:pt idx="162">
                  <c:v>5.6612171005649117</c:v>
                </c:pt>
                <c:pt idx="163">
                  <c:v>5.8662249240298943</c:v>
                </c:pt>
                <c:pt idx="164">
                  <c:v>7.127716837702784</c:v>
                </c:pt>
                <c:pt idx="165">
                  <c:v>6.7053388890584262</c:v>
                </c:pt>
                <c:pt idx="166">
                  <c:v>6.3254180331007825</c:v>
                </c:pt>
                <c:pt idx="167">
                  <c:v>5.9960302156963454</c:v>
                </c:pt>
                <c:pt idx="168">
                  <c:v>5.7259029662857799</c:v>
                </c:pt>
                <c:pt idx="169">
                  <c:v>5.5237371940387199</c:v>
                </c:pt>
                <c:pt idx="170">
                  <c:v>5.3971753516078156</c:v>
                </c:pt>
                <c:pt idx="171">
                  <c:v>5.3515840964063051</c:v>
                </c:pt>
                <c:pt idx="172">
                  <c:v>5.3890188609360568</c:v>
                </c:pt>
                <c:pt idx="173">
                  <c:v>5.5077869969571225</c:v>
                </c:pt>
                <c:pt idx="174">
                  <c:v>5.7028091588168275</c:v>
                </c:pt>
                <c:pt idx="175">
                  <c:v>6.7100158436242729</c:v>
                </c:pt>
                <c:pt idx="176">
                  <c:v>6.3163878282211439</c:v>
                </c:pt>
                <c:pt idx="177">
                  <c:v>5.9717099016128854</c:v>
                </c:pt>
                <c:pt idx="178">
                  <c:v>5.6848926532743169</c:v>
                </c:pt>
                <c:pt idx="179">
                  <c:v>5.4650536307700541</c:v>
                </c:pt>
                <c:pt idx="180">
                  <c:v>5.3205017876928986</c:v>
                </c:pt>
                <c:pt idx="181">
                  <c:v>5.257450783050988</c:v>
                </c:pt>
                <c:pt idx="182">
                  <c:v>5.2788217982115375</c:v>
                </c:pt>
                <c:pt idx="183">
                  <c:v>5.3836095508546018</c:v>
                </c:pt>
                <c:pt idx="184">
                  <c:v>5.5671056566713544</c:v>
                </c:pt>
                <c:pt idx="185">
                  <c:v>6.335912937186353</c:v>
                </c:pt>
                <c:pt idx="186">
                  <c:v>5.9775794096423978</c:v>
                </c:pt>
                <c:pt idx="187">
                  <c:v>5.6754946768775891</c:v>
                </c:pt>
                <c:pt idx="188">
                  <c:v>5.4390390174791605</c:v>
                </c:pt>
                <c:pt idx="189">
                  <c:v>5.2770420140231247</c:v>
                </c:pt>
                <c:pt idx="190">
                  <c:v>5.1964719550459941</c:v>
                </c:pt>
                <c:pt idx="191">
                  <c:v>5.2011143535884274</c:v>
                </c:pt>
                <c:pt idx="192">
                  <c:v>5.2907449037292782</c:v>
                </c:pt>
                <c:pt idx="193">
                  <c:v>5.4611806536023719</c:v>
                </c:pt>
                <c:pt idx="194">
                  <c:v>6.013550340374783</c:v>
                </c:pt>
                <c:pt idx="195">
                  <c:v>5.6978654620270683</c:v>
                </c:pt>
                <c:pt idx="196">
                  <c:v>5.4461615224128224</c:v>
                </c:pt>
                <c:pt idx="197">
                  <c:v>5.2676181724541022</c:v>
                </c:pt>
                <c:pt idx="198">
                  <c:v>5.1698209322023105</c:v>
                </c:pt>
                <c:pt idx="199">
                  <c:v>5.1573653263091011</c:v>
                </c:pt>
                <c:pt idx="200">
                  <c:v>5.2308610309110035</c:v>
                </c:pt>
                <c:pt idx="201">
                  <c:v>5.3867911151353365</c:v>
                </c:pt>
                <c:pt idx="202">
                  <c:v>5.7516343301306598</c:v>
                </c:pt>
                <c:pt idx="203">
                  <c:v>5.4862920876344852</c:v>
                </c:pt>
                <c:pt idx="204">
                  <c:v>5.2924120825814081</c:v>
                </c:pt>
                <c:pt idx="205">
                  <c:v>5.1780277915994555</c:v>
                </c:pt>
                <c:pt idx="206">
                  <c:v>5.1484404771744936</c:v>
                </c:pt>
                <c:pt idx="207">
                  <c:v>5.20509637385811</c:v>
                </c:pt>
                <c:pt idx="208">
                  <c:v>5.3452538342910065</c:v>
                </c:pt>
                <c:pt idx="209">
                  <c:v>5.5587158644378567</c:v>
                </c:pt>
                <c:pt idx="210">
                  <c:v>5.3509481160837478</c:v>
                </c:pt>
                <c:pt idx="211">
                  <c:v>5.2209281548587745</c:v>
                </c:pt>
                <c:pt idx="212">
                  <c:v>5.174520000259311</c:v>
                </c:pt>
                <c:pt idx="213">
                  <c:v>5.2139567552560244</c:v>
                </c:pt>
                <c:pt idx="214">
                  <c:v>5.3373358743839576</c:v>
                </c:pt>
                <c:pt idx="215">
                  <c:v>5.4421375835482406</c:v>
                </c:pt>
                <c:pt idx="216">
                  <c:v>5.2976792498130063</c:v>
                </c:pt>
                <c:pt idx="217">
                  <c:v>5.2350807794378929</c:v>
                </c:pt>
                <c:pt idx="218">
                  <c:v>5.2572671111795852</c:v>
                </c:pt>
                <c:pt idx="219">
                  <c:v>5.3631861395117326</c:v>
                </c:pt>
                <c:pt idx="220">
                  <c:v>5.4068397162929722</c:v>
                </c:pt>
                <c:pt idx="221">
                  <c:v>5.3289473584825364</c:v>
                </c:pt>
                <c:pt idx="222">
                  <c:v>5.3341883692819358</c:v>
                </c:pt>
                <c:pt idx="223">
                  <c:v>5.422321693352127</c:v>
                </c:pt>
                <c:pt idx="224">
                  <c:v>5.4544004968279989</c:v>
                </c:pt>
                <c:pt idx="225">
                  <c:v>5.4432958111567276</c:v>
                </c:pt>
                <c:pt idx="226">
                  <c:v>5.5136716599218119</c:v>
                </c:pt>
                <c:pt idx="227">
                  <c:v>5.5827026308600383</c:v>
                </c:pt>
                <c:pt idx="228">
                  <c:v>5.6356697426955709</c:v>
                </c:pt>
                <c:pt idx="229">
                  <c:v>5.7863777419146514</c:v>
                </c:pt>
              </c:numCache>
            </c:numRef>
          </c:xVal>
          <c:yVal>
            <c:numRef>
              <c:f>'Step3 and Step4'!$I$2:$I$231</c:f>
              <c:numCache>
                <c:formatCode>0.00</c:formatCode>
                <c:ptCount val="230"/>
                <c:pt idx="0">
                  <c:v>1.0661051562499999</c:v>
                </c:pt>
                <c:pt idx="1">
                  <c:v>1.0534332708333332</c:v>
                </c:pt>
                <c:pt idx="2">
                  <c:v>1.0407613854166664</c:v>
                </c:pt>
                <c:pt idx="3">
                  <c:v>1.0280894999999997</c:v>
                </c:pt>
                <c:pt idx="4">
                  <c:v>1.0154176145833331</c:v>
                </c:pt>
                <c:pt idx="5">
                  <c:v>1.0027457291666664</c:v>
                </c:pt>
                <c:pt idx="6">
                  <c:v>0.99007384374999974</c:v>
                </c:pt>
                <c:pt idx="7">
                  <c:v>0.9774019583333331</c:v>
                </c:pt>
                <c:pt idx="8">
                  <c:v>0.96473007291666635</c:v>
                </c:pt>
                <c:pt idx="9">
                  <c:v>0.9520581874999996</c:v>
                </c:pt>
                <c:pt idx="10">
                  <c:v>0.93938630208333307</c:v>
                </c:pt>
                <c:pt idx="11">
                  <c:v>0.92671441666666632</c:v>
                </c:pt>
                <c:pt idx="12">
                  <c:v>0.91404253124999957</c:v>
                </c:pt>
                <c:pt idx="13">
                  <c:v>0.90137064583333293</c:v>
                </c:pt>
                <c:pt idx="14">
                  <c:v>0.88869876041666629</c:v>
                </c:pt>
                <c:pt idx="15">
                  <c:v>0.87602687499999965</c:v>
                </c:pt>
                <c:pt idx="16">
                  <c:v>0.86335498958333279</c:v>
                </c:pt>
                <c:pt idx="17">
                  <c:v>0.85068310416666626</c:v>
                </c:pt>
                <c:pt idx="18">
                  <c:v>0.83801121874999951</c:v>
                </c:pt>
                <c:pt idx="19">
                  <c:v>0.82533933333333287</c:v>
                </c:pt>
                <c:pt idx="20">
                  <c:v>1.0539808312499999</c:v>
                </c:pt>
                <c:pt idx="21">
                  <c:v>1.0413089458333331</c:v>
                </c:pt>
                <c:pt idx="22">
                  <c:v>1.0286370604166664</c:v>
                </c:pt>
                <c:pt idx="23">
                  <c:v>1.0159651749999998</c:v>
                </c:pt>
                <c:pt idx="24">
                  <c:v>1.0032932895833331</c:v>
                </c:pt>
                <c:pt idx="25">
                  <c:v>0.99062140416666633</c:v>
                </c:pt>
                <c:pt idx="26">
                  <c:v>0.9779495187499998</c:v>
                </c:pt>
                <c:pt idx="27">
                  <c:v>0.96527763333333305</c:v>
                </c:pt>
                <c:pt idx="28">
                  <c:v>0.95260574791666652</c:v>
                </c:pt>
                <c:pt idx="29">
                  <c:v>0.93993386249999977</c:v>
                </c:pt>
                <c:pt idx="30">
                  <c:v>0.92726197708333302</c:v>
                </c:pt>
                <c:pt idx="31">
                  <c:v>0.91459009166666638</c:v>
                </c:pt>
                <c:pt idx="32">
                  <c:v>0.90191820624999952</c:v>
                </c:pt>
                <c:pt idx="33">
                  <c:v>0.88924632083333299</c:v>
                </c:pt>
                <c:pt idx="34">
                  <c:v>0.87657443541666624</c:v>
                </c:pt>
                <c:pt idx="35">
                  <c:v>0.8639025499999996</c:v>
                </c:pt>
                <c:pt idx="36">
                  <c:v>0.85123066458333296</c:v>
                </c:pt>
                <c:pt idx="37">
                  <c:v>0.83855877916666621</c:v>
                </c:pt>
                <c:pt idx="38">
                  <c:v>0.82588689374999968</c:v>
                </c:pt>
                <c:pt idx="39">
                  <c:v>0.81321500833333293</c:v>
                </c:pt>
                <c:pt idx="40">
                  <c:v>1.0291846208333331</c:v>
                </c:pt>
                <c:pt idx="41">
                  <c:v>1.0165127354166663</c:v>
                </c:pt>
                <c:pt idx="42">
                  <c:v>1.0038408499999998</c:v>
                </c:pt>
                <c:pt idx="43">
                  <c:v>0.99116896458333315</c:v>
                </c:pt>
                <c:pt idx="44">
                  <c:v>0.97849707916666651</c:v>
                </c:pt>
                <c:pt idx="45">
                  <c:v>0.96582519374999976</c:v>
                </c:pt>
                <c:pt idx="46">
                  <c:v>0.953153308333333</c:v>
                </c:pt>
                <c:pt idx="47">
                  <c:v>0.94048142291666648</c:v>
                </c:pt>
                <c:pt idx="48">
                  <c:v>0.92780953749999973</c:v>
                </c:pt>
                <c:pt idx="49">
                  <c:v>0.91513765208333298</c:v>
                </c:pt>
                <c:pt idx="50">
                  <c:v>0.90246576666666634</c:v>
                </c:pt>
                <c:pt idx="51">
                  <c:v>0.8897938812499997</c:v>
                </c:pt>
                <c:pt idx="52">
                  <c:v>0.87712199583333295</c:v>
                </c:pt>
                <c:pt idx="53">
                  <c:v>0.86445011041666642</c:v>
                </c:pt>
                <c:pt idx="54">
                  <c:v>0.85177822499999967</c:v>
                </c:pt>
                <c:pt idx="55">
                  <c:v>0.83910633958333292</c:v>
                </c:pt>
                <c:pt idx="56">
                  <c:v>0.82643445416666639</c:v>
                </c:pt>
                <c:pt idx="57">
                  <c:v>0.81376256874999964</c:v>
                </c:pt>
                <c:pt idx="58">
                  <c:v>0.801090683333333</c:v>
                </c:pt>
                <c:pt idx="59">
                  <c:v>1.0043884104166665</c:v>
                </c:pt>
                <c:pt idx="60">
                  <c:v>0.99171652499999985</c:v>
                </c:pt>
                <c:pt idx="61">
                  <c:v>0.97904463958333321</c:v>
                </c:pt>
                <c:pt idx="62">
                  <c:v>0.96637275416666646</c:v>
                </c:pt>
                <c:pt idx="63">
                  <c:v>0.95370086874999982</c:v>
                </c:pt>
                <c:pt idx="64">
                  <c:v>0.94102898333333307</c:v>
                </c:pt>
                <c:pt idx="65">
                  <c:v>0.92835709791666643</c:v>
                </c:pt>
                <c:pt idx="66">
                  <c:v>0.91568521249999968</c:v>
                </c:pt>
                <c:pt idx="67">
                  <c:v>0.90301332708333315</c:v>
                </c:pt>
                <c:pt idx="68">
                  <c:v>0.8903414416666664</c:v>
                </c:pt>
                <c:pt idx="69">
                  <c:v>0.87766955624999965</c:v>
                </c:pt>
                <c:pt idx="70">
                  <c:v>0.86499767083333301</c:v>
                </c:pt>
                <c:pt idx="71">
                  <c:v>0.85232578541666637</c:v>
                </c:pt>
                <c:pt idx="72">
                  <c:v>0.83965389999999962</c:v>
                </c:pt>
                <c:pt idx="73">
                  <c:v>0.82698201458333309</c:v>
                </c:pt>
                <c:pt idx="74">
                  <c:v>0.81431012916666623</c:v>
                </c:pt>
                <c:pt idx="75">
                  <c:v>0.80163824374999959</c:v>
                </c:pt>
                <c:pt idx="76">
                  <c:v>0.78896635833333284</c:v>
                </c:pt>
                <c:pt idx="77">
                  <c:v>0.97959219999999991</c:v>
                </c:pt>
                <c:pt idx="78">
                  <c:v>0.96692031458333327</c:v>
                </c:pt>
                <c:pt idx="79">
                  <c:v>0.95424842916666652</c:v>
                </c:pt>
                <c:pt idx="80">
                  <c:v>0.94157654374999988</c:v>
                </c:pt>
                <c:pt idx="81">
                  <c:v>0.92890465833333313</c:v>
                </c:pt>
                <c:pt idx="82">
                  <c:v>0.91623277291666649</c:v>
                </c:pt>
                <c:pt idx="83">
                  <c:v>0.90356088749999974</c:v>
                </c:pt>
                <c:pt idx="84">
                  <c:v>0.8908890020833331</c:v>
                </c:pt>
                <c:pt idx="85">
                  <c:v>0.87821711666666646</c:v>
                </c:pt>
                <c:pt idx="86">
                  <c:v>0.86554523124999982</c:v>
                </c:pt>
                <c:pt idx="87">
                  <c:v>0.85287334583333307</c:v>
                </c:pt>
                <c:pt idx="88">
                  <c:v>0.84020146041666632</c:v>
                </c:pt>
                <c:pt idx="89">
                  <c:v>0.82752957499999968</c:v>
                </c:pt>
                <c:pt idx="90">
                  <c:v>0.81485768958333304</c:v>
                </c:pt>
                <c:pt idx="91">
                  <c:v>0.80218580416666641</c:v>
                </c:pt>
                <c:pt idx="92">
                  <c:v>0.78951391874999954</c:v>
                </c:pt>
                <c:pt idx="93">
                  <c:v>0.77684203333333302</c:v>
                </c:pt>
                <c:pt idx="94">
                  <c:v>0.95479598958333323</c:v>
                </c:pt>
                <c:pt idx="95">
                  <c:v>0.94212410416666659</c:v>
                </c:pt>
                <c:pt idx="96">
                  <c:v>0.92945221874999984</c:v>
                </c:pt>
                <c:pt idx="97">
                  <c:v>0.91678033333333309</c:v>
                </c:pt>
                <c:pt idx="98">
                  <c:v>0.90410844791666656</c:v>
                </c:pt>
                <c:pt idx="99">
                  <c:v>0.89143656249999981</c:v>
                </c:pt>
                <c:pt idx="100">
                  <c:v>0.87876467708333306</c:v>
                </c:pt>
                <c:pt idx="101">
                  <c:v>0.86609279166666642</c:v>
                </c:pt>
                <c:pt idx="102">
                  <c:v>0.85342090624999978</c:v>
                </c:pt>
                <c:pt idx="103">
                  <c:v>0.84074902083333314</c:v>
                </c:pt>
                <c:pt idx="104">
                  <c:v>0.8280771354166665</c:v>
                </c:pt>
                <c:pt idx="105">
                  <c:v>0.81540524999999975</c:v>
                </c:pt>
                <c:pt idx="106">
                  <c:v>0.802733364583333</c:v>
                </c:pt>
                <c:pt idx="107">
                  <c:v>0.79006147916666636</c:v>
                </c:pt>
                <c:pt idx="108">
                  <c:v>0.77738959374999972</c:v>
                </c:pt>
                <c:pt idx="109">
                  <c:v>0.76471770833333297</c:v>
                </c:pt>
                <c:pt idx="110">
                  <c:v>0.92999977916666654</c:v>
                </c:pt>
                <c:pt idx="111">
                  <c:v>0.9173278937499999</c:v>
                </c:pt>
                <c:pt idx="112">
                  <c:v>0.90465600833333326</c:v>
                </c:pt>
                <c:pt idx="113">
                  <c:v>0.89198412291666651</c:v>
                </c:pt>
                <c:pt idx="114">
                  <c:v>0.87931223749999987</c:v>
                </c:pt>
                <c:pt idx="115">
                  <c:v>0.86664035208333323</c:v>
                </c:pt>
                <c:pt idx="116">
                  <c:v>0.85396846666666648</c:v>
                </c:pt>
                <c:pt idx="117">
                  <c:v>0.84129658124999973</c:v>
                </c:pt>
                <c:pt idx="118">
                  <c:v>0.82862469583333309</c:v>
                </c:pt>
                <c:pt idx="119">
                  <c:v>0.81595281041666645</c:v>
                </c:pt>
                <c:pt idx="120">
                  <c:v>0.8032809249999997</c:v>
                </c:pt>
                <c:pt idx="121">
                  <c:v>0.79060903958333317</c:v>
                </c:pt>
                <c:pt idx="122">
                  <c:v>0.77793715416666631</c:v>
                </c:pt>
                <c:pt idx="123">
                  <c:v>0.76526526874999967</c:v>
                </c:pt>
                <c:pt idx="124">
                  <c:v>0.75259338333333303</c:v>
                </c:pt>
                <c:pt idx="125">
                  <c:v>0.90520356874999996</c:v>
                </c:pt>
                <c:pt idx="126">
                  <c:v>0.89253168333333321</c:v>
                </c:pt>
                <c:pt idx="127">
                  <c:v>0.87985979791666658</c:v>
                </c:pt>
                <c:pt idx="128">
                  <c:v>0.86718791249999982</c:v>
                </c:pt>
                <c:pt idx="129">
                  <c:v>0.85451602708333319</c:v>
                </c:pt>
                <c:pt idx="130">
                  <c:v>0.84184414166666643</c:v>
                </c:pt>
                <c:pt idx="131">
                  <c:v>0.8291722562499998</c:v>
                </c:pt>
                <c:pt idx="132">
                  <c:v>0.81650037083333316</c:v>
                </c:pt>
                <c:pt idx="133">
                  <c:v>0.80382848541666641</c:v>
                </c:pt>
                <c:pt idx="134">
                  <c:v>0.79115659999999977</c:v>
                </c:pt>
                <c:pt idx="135">
                  <c:v>0.77848471458333313</c:v>
                </c:pt>
                <c:pt idx="136">
                  <c:v>0.76581282916666649</c:v>
                </c:pt>
                <c:pt idx="137">
                  <c:v>0.75314094374999963</c:v>
                </c:pt>
                <c:pt idx="138">
                  <c:v>0.7404690583333331</c:v>
                </c:pt>
                <c:pt idx="139">
                  <c:v>0.88040735833333328</c:v>
                </c:pt>
                <c:pt idx="140">
                  <c:v>0.86773547291666664</c:v>
                </c:pt>
                <c:pt idx="141">
                  <c:v>0.85506358749999989</c:v>
                </c:pt>
                <c:pt idx="142">
                  <c:v>0.84239170208333325</c:v>
                </c:pt>
                <c:pt idx="143">
                  <c:v>0.82971981666666661</c:v>
                </c:pt>
                <c:pt idx="144">
                  <c:v>0.81704793124999986</c:v>
                </c:pt>
                <c:pt idx="145">
                  <c:v>0.80437604583333322</c:v>
                </c:pt>
                <c:pt idx="146">
                  <c:v>0.79170416041666658</c:v>
                </c:pt>
                <c:pt idx="147">
                  <c:v>0.77903227499999983</c:v>
                </c:pt>
                <c:pt idx="148">
                  <c:v>0.7663603895833333</c:v>
                </c:pt>
                <c:pt idx="149">
                  <c:v>0.75368850416666644</c:v>
                </c:pt>
                <c:pt idx="150">
                  <c:v>0.7410166187499998</c:v>
                </c:pt>
                <c:pt idx="151">
                  <c:v>0.72834473333333305</c:v>
                </c:pt>
                <c:pt idx="152">
                  <c:v>0.85561114791666659</c:v>
                </c:pt>
                <c:pt idx="153">
                  <c:v>0.84293926249999984</c:v>
                </c:pt>
                <c:pt idx="154">
                  <c:v>0.83026737708333331</c:v>
                </c:pt>
                <c:pt idx="155">
                  <c:v>0.81759549166666656</c:v>
                </c:pt>
                <c:pt idx="156">
                  <c:v>0.80492360624999981</c:v>
                </c:pt>
                <c:pt idx="157">
                  <c:v>0.79225172083333317</c:v>
                </c:pt>
                <c:pt idx="158">
                  <c:v>0.77957983541666653</c:v>
                </c:pt>
                <c:pt idx="159">
                  <c:v>0.76690794999999978</c:v>
                </c:pt>
                <c:pt idx="160">
                  <c:v>0.75423606458333325</c:v>
                </c:pt>
                <c:pt idx="161">
                  <c:v>0.7415641791666665</c:v>
                </c:pt>
                <c:pt idx="162">
                  <c:v>0.72889229374999975</c:v>
                </c:pt>
                <c:pt idx="163">
                  <c:v>0.71622040833333322</c:v>
                </c:pt>
                <c:pt idx="164">
                  <c:v>0.83081493750000002</c:v>
                </c:pt>
                <c:pt idx="165">
                  <c:v>0.81814305208333327</c:v>
                </c:pt>
                <c:pt idx="166">
                  <c:v>0.80547116666666663</c:v>
                </c:pt>
                <c:pt idx="167">
                  <c:v>0.79279928124999999</c:v>
                </c:pt>
                <c:pt idx="168">
                  <c:v>0.78012739583333324</c:v>
                </c:pt>
                <c:pt idx="169">
                  <c:v>0.76745551041666649</c:v>
                </c:pt>
                <c:pt idx="170">
                  <c:v>0.75478362499999985</c:v>
                </c:pt>
                <c:pt idx="171">
                  <c:v>0.74211173958333321</c:v>
                </c:pt>
                <c:pt idx="172">
                  <c:v>0.72943985416666657</c:v>
                </c:pt>
                <c:pt idx="173">
                  <c:v>0.71676796874999993</c:v>
                </c:pt>
                <c:pt idx="174">
                  <c:v>0.70409608333333318</c:v>
                </c:pt>
                <c:pt idx="175">
                  <c:v>0.80601872708333333</c:v>
                </c:pt>
                <c:pt idx="176">
                  <c:v>0.79334684166666669</c:v>
                </c:pt>
                <c:pt idx="177">
                  <c:v>0.78067495624999994</c:v>
                </c:pt>
                <c:pt idx="178">
                  <c:v>0.7680030708333333</c:v>
                </c:pt>
                <c:pt idx="179">
                  <c:v>0.75533118541666666</c:v>
                </c:pt>
                <c:pt idx="180">
                  <c:v>0.74265929999999991</c:v>
                </c:pt>
                <c:pt idx="181">
                  <c:v>0.72998741458333316</c:v>
                </c:pt>
                <c:pt idx="182">
                  <c:v>0.71731552916666652</c:v>
                </c:pt>
                <c:pt idx="183">
                  <c:v>0.70464364374999988</c:v>
                </c:pt>
                <c:pt idx="184">
                  <c:v>0.69197175833333324</c:v>
                </c:pt>
                <c:pt idx="185">
                  <c:v>0.78122251666666664</c:v>
                </c:pt>
                <c:pt idx="186">
                  <c:v>0.76855063124999989</c:v>
                </c:pt>
                <c:pt idx="187">
                  <c:v>0.75587874583333337</c:v>
                </c:pt>
                <c:pt idx="188">
                  <c:v>0.74320686041666661</c:v>
                </c:pt>
                <c:pt idx="189">
                  <c:v>0.73053497499999998</c:v>
                </c:pt>
                <c:pt idx="190">
                  <c:v>0.71786308958333334</c:v>
                </c:pt>
                <c:pt idx="191">
                  <c:v>0.70519120416666659</c:v>
                </c:pt>
                <c:pt idx="192">
                  <c:v>0.69251931874999983</c:v>
                </c:pt>
                <c:pt idx="193">
                  <c:v>0.67984743333333331</c:v>
                </c:pt>
                <c:pt idx="194">
                  <c:v>0.75642630625000007</c:v>
                </c:pt>
                <c:pt idx="195">
                  <c:v>0.74375442083333332</c:v>
                </c:pt>
                <c:pt idx="196">
                  <c:v>0.73108253541666668</c:v>
                </c:pt>
                <c:pt idx="197">
                  <c:v>0.71841064999999993</c:v>
                </c:pt>
                <c:pt idx="198">
                  <c:v>0.70573876458333329</c:v>
                </c:pt>
                <c:pt idx="199">
                  <c:v>0.69306687916666665</c:v>
                </c:pt>
                <c:pt idx="200">
                  <c:v>0.68039499375000001</c:v>
                </c:pt>
                <c:pt idx="201">
                  <c:v>0.66772310833333326</c:v>
                </c:pt>
                <c:pt idx="202">
                  <c:v>0.73163009583333327</c:v>
                </c:pt>
                <c:pt idx="203">
                  <c:v>0.71895821041666663</c:v>
                </c:pt>
                <c:pt idx="204">
                  <c:v>0.70628632499999999</c:v>
                </c:pt>
                <c:pt idx="205">
                  <c:v>0.69361443958333324</c:v>
                </c:pt>
                <c:pt idx="206">
                  <c:v>0.6809425541666666</c:v>
                </c:pt>
                <c:pt idx="207">
                  <c:v>0.66827066874999996</c:v>
                </c:pt>
                <c:pt idx="208">
                  <c:v>0.65559878333333321</c:v>
                </c:pt>
                <c:pt idx="209">
                  <c:v>0.7068338854166667</c:v>
                </c:pt>
                <c:pt idx="210">
                  <c:v>0.69416200000000006</c:v>
                </c:pt>
                <c:pt idx="211">
                  <c:v>0.68149011458333342</c:v>
                </c:pt>
                <c:pt idx="212">
                  <c:v>0.66881822916666667</c:v>
                </c:pt>
                <c:pt idx="213">
                  <c:v>0.65614634375000014</c:v>
                </c:pt>
                <c:pt idx="214">
                  <c:v>0.64347445833333339</c:v>
                </c:pt>
                <c:pt idx="215">
                  <c:v>0.68203767500000012</c:v>
                </c:pt>
                <c:pt idx="216">
                  <c:v>0.66936578958333337</c:v>
                </c:pt>
                <c:pt idx="217">
                  <c:v>0.65669390416666673</c:v>
                </c:pt>
                <c:pt idx="218">
                  <c:v>0.64402201875000009</c:v>
                </c:pt>
                <c:pt idx="219">
                  <c:v>0.63135013333333345</c:v>
                </c:pt>
                <c:pt idx="220">
                  <c:v>0.65724146458333343</c:v>
                </c:pt>
                <c:pt idx="221">
                  <c:v>0.6445695791666668</c:v>
                </c:pt>
                <c:pt idx="222">
                  <c:v>0.63189769375000004</c:v>
                </c:pt>
                <c:pt idx="223">
                  <c:v>0.61922580833333341</c:v>
                </c:pt>
                <c:pt idx="224">
                  <c:v>0.63244525416666675</c:v>
                </c:pt>
                <c:pt idx="225">
                  <c:v>0.61977336875</c:v>
                </c:pt>
                <c:pt idx="226">
                  <c:v>0.60710148333333336</c:v>
                </c:pt>
                <c:pt idx="227">
                  <c:v>0.60764904375000017</c:v>
                </c:pt>
                <c:pt idx="228">
                  <c:v>0.59497715833333342</c:v>
                </c:pt>
                <c:pt idx="229">
                  <c:v>0.58285283333333349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7-4DB0-90B2-C0F83B63A104}"/>
            </c:ext>
          </c:extLst>
        </c:ser>
        <c:ser>
          <c:idx val="1"/>
          <c:order val="1"/>
          <c:tx>
            <c:v>CML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'Step3 and Step4'!$H$2:$H$231</c:f>
              <c:numCache>
                <c:formatCode>0.00</c:formatCode>
                <c:ptCount val="230"/>
                <c:pt idx="0">
                  <c:v>12.04504167995238</c:v>
                </c:pt>
                <c:pt idx="1">
                  <c:v>11.531702822502329</c:v>
                </c:pt>
                <c:pt idx="2">
                  <c:v>11.034918770835425</c:v>
                </c:pt>
                <c:pt idx="3">
                  <c:v>10.557026851773829</c:v>
                </c:pt>
                <c:pt idx="4">
                  <c:v>10.100708935362949</c:v>
                </c:pt>
                <c:pt idx="5">
                  <c:v>9.6690199825255281</c:v>
                </c:pt>
                <c:pt idx="6">
                  <c:v>9.265403133471569</c:v>
                </c:pt>
                <c:pt idx="7">
                  <c:v>8.8936811504978781</c:v>
                </c:pt>
                <c:pt idx="8">
                  <c:v>8.5580111571209994</c:v>
                </c:pt>
                <c:pt idx="9">
                  <c:v>8.2627880828327864</c:v>
                </c:pt>
                <c:pt idx="10">
                  <c:v>8.0124840228177199</c:v>
                </c:pt>
                <c:pt idx="11">
                  <c:v>7.8114182392011697</c:v>
                </c:pt>
                <c:pt idx="12">
                  <c:v>7.6634672947204443</c:v>
                </c:pt>
                <c:pt idx="13">
                  <c:v>7.5717454014569716</c:v>
                </c:pt>
                <c:pt idx="14">
                  <c:v>7.5383053300744898</c:v>
                </c:pt>
                <c:pt idx="15">
                  <c:v>7.5639201114292494</c:v>
                </c:pt>
                <c:pt idx="16">
                  <c:v>7.6479964064091961</c:v>
                </c:pt>
                <c:pt idx="17">
                  <c:v>7.7886412159324587</c:v>
                </c:pt>
                <c:pt idx="18">
                  <c:v>7.9828651702446685</c:v>
                </c:pt>
                <c:pt idx="19">
                  <c:v>8.22687437851088</c:v>
                </c:pt>
                <c:pt idx="20">
                  <c:v>11.970915863500268</c:v>
                </c:pt>
                <c:pt idx="21">
                  <c:v>11.446530759325055</c:v>
                </c:pt>
                <c:pt idx="22">
                  <c:v>10.937798115482687</c:v>
                </c:pt>
                <c:pt idx="23">
                  <c:v>10.447004842712023</c:v>
                </c:pt>
                <c:pt idx="24">
                  <c:v>9.9767987916941525</c:v>
                </c:pt>
                <c:pt idx="25">
                  <c:v>9.5302276706257736</c:v>
                </c:pt>
                <c:pt idx="26">
                  <c:v>9.1107675942086317</c:v>
                </c:pt>
                <c:pt idx="27">
                  <c:v>8.7223307799643095</c:v>
                </c:pt>
                <c:pt idx="28">
                  <c:v>8.3692379397561201</c:v>
                </c:pt>
                <c:pt idx="29">
                  <c:v>8.0561376929086439</c:v>
                </c:pt>
                <c:pt idx="30">
                  <c:v>7.7878550795237143</c:v>
                </c:pt>
                <c:pt idx="31">
                  <c:v>7.5691571743446415</c:v>
                </c:pt>
                <c:pt idx="32">
                  <c:v>7.4044388914969321</c:v>
                </c:pt>
                <c:pt idx="33">
                  <c:v>7.2973564832479871</c:v>
                </c:pt>
                <c:pt idx="34">
                  <c:v>7.2504640794227964</c:v>
                </c:pt>
                <c:pt idx="35">
                  <c:v>7.2649272858101508</c:v>
                </c:pt>
                <c:pt idx="36">
                  <c:v>7.3403834332361111</c:v>
                </c:pt>
                <c:pt idx="37">
                  <c:v>7.4749856724581889</c:v>
                </c:pt>
                <c:pt idx="38">
                  <c:v>7.6656189598552951</c:v>
                </c:pt>
                <c:pt idx="39">
                  <c:v>7.9082323340706475</c:v>
                </c:pt>
                <c:pt idx="40">
                  <c:v>11.376605755229573</c:v>
                </c:pt>
                <c:pt idx="41">
                  <c:v>10.856455158073413</c:v>
                </c:pt>
                <c:pt idx="42">
                  <c:v>10.353270018033182</c:v>
                </c:pt>
                <c:pt idx="43">
                  <c:v>9.8696455311759017</c:v>
                </c:pt>
                <c:pt idx="44">
                  <c:v>9.408598574364083</c:v>
                </c:pt>
                <c:pt idx="45">
                  <c:v>8.9736097939291426</c:v>
                </c:pt>
                <c:pt idx="46">
                  <c:v>8.5686486514260753</c:v>
                </c:pt>
                <c:pt idx="47">
                  <c:v>8.1981661404963297</c:v>
                </c:pt>
                <c:pt idx="48">
                  <c:v>7.867034879831464</c:v>
                </c:pt>
                <c:pt idx="49">
                  <c:v>7.5804135053108377</c:v>
                </c:pt>
                <c:pt idx="50">
                  <c:v>7.34351560223186</c:v>
                </c:pt>
                <c:pt idx="51">
                  <c:v>7.1612774884552763</c:v>
                </c:pt>
                <c:pt idx="52">
                  <c:v>7.0379464697310388</c:v>
                </c:pt>
                <c:pt idx="53">
                  <c:v>6.9766472701902176</c:v>
                </c:pt>
                <c:pt idx="54">
                  <c:v>6.9790146247314429</c:v>
                </c:pt>
                <c:pt idx="55">
                  <c:v>7.0449843512592603</c:v>
                </c:pt>
                <c:pt idx="56">
                  <c:v>7.1728017722832744</c:v>
                </c:pt>
                <c:pt idx="57">
                  <c:v>7.3592450290204381</c:v>
                </c:pt>
                <c:pt idx="58">
                  <c:v>7.6000007176028435</c:v>
                </c:pt>
                <c:pt idx="59">
                  <c:v>10.791246694962659</c:v>
                </c:pt>
                <c:pt idx="60">
                  <c:v>10.276268077324701</c:v>
                </c:pt>
                <c:pt idx="61">
                  <c:v>9.779799964224857</c:v>
                </c:pt>
                <c:pt idx="62">
                  <c:v>9.3048057723507647</c:v>
                </c:pt>
                <c:pt idx="63">
                  <c:v>8.8547419476685754</c:v>
                </c:pt>
                <c:pt idx="64">
                  <c:v>8.4336007040967083</c:v>
                </c:pt>
                <c:pt idx="65">
                  <c:v>8.0459249368975172</c:v>
                </c:pt>
                <c:pt idx="66">
                  <c:v>7.6967731369677148</c:v>
                </c:pt>
                <c:pt idx="67">
                  <c:v>7.391606505450361</c:v>
                </c:pt>
                <c:pt idx="68">
                  <c:v>7.1360702153632225</c:v>
                </c:pt>
                <c:pt idx="69">
                  <c:v>6.9356521599256853</c:v>
                </c:pt>
                <c:pt idx="70">
                  <c:v>6.7952310502351052</c:v>
                </c:pt>
                <c:pt idx="71">
                  <c:v>6.7185698289432461</c:v>
                </c:pt>
                <c:pt idx="72">
                  <c:v>6.707854906332086</c:v>
                </c:pt>
                <c:pt idx="73">
                  <c:v>6.7633997161287231</c:v>
                </c:pt>
                <c:pt idx="74">
                  <c:v>6.8836004658584384</c:v>
                </c:pt>
                <c:pt idx="75">
                  <c:v>7.0651579178892137</c:v>
                </c:pt>
                <c:pt idx="76">
                  <c:v>7.3034977109305999</c:v>
                </c:pt>
                <c:pt idx="77">
                  <c:v>10.216377380258725</c:v>
                </c:pt>
                <c:pt idx="78">
                  <c:v>9.7077426530335131</c:v>
                </c:pt>
                <c:pt idx="79">
                  <c:v>9.2194516885170508</c:v>
                </c:pt>
                <c:pt idx="80">
                  <c:v>8.7549090705719745</c:v>
                </c:pt>
                <c:pt idx="81">
                  <c:v>8.3180945900354288</c:v>
                </c:pt>
                <c:pt idx="82">
                  <c:v>7.9136011879093102</c:v>
                </c:pt>
                <c:pt idx="83">
                  <c:v>7.546627809259733</c:v>
                </c:pt>
                <c:pt idx="84">
                  <c:v>7.2228955550675655</c:v>
                </c:pt>
                <c:pt idx="85">
                  <c:v>6.9484509414003197</c:v>
                </c:pt>
                <c:pt idx="86">
                  <c:v>6.7293270204671192</c:v>
                </c:pt>
                <c:pt idx="87">
                  <c:v>6.5710604311207277</c:v>
                </c:pt>
                <c:pt idx="88">
                  <c:v>6.4781131209791267</c:v>
                </c:pt>
                <c:pt idx="89">
                  <c:v>6.4533080977645128</c:v>
                </c:pt>
                <c:pt idx="90">
                  <c:v>6.4974258425051596</c:v>
                </c:pt>
                <c:pt idx="91">
                  <c:v>6.6090862553566714</c:v>
                </c:pt>
                <c:pt idx="92">
                  <c:v>6.7849554943525447</c:v>
                </c:pt>
                <c:pt idx="93">
                  <c:v>7.0202095672176945</c:v>
                </c:pt>
                <c:pt idx="94">
                  <c:v>9.6538719249263565</c:v>
                </c:pt>
                <c:pt idx="95">
                  <c:v>9.1530521718555313</c:v>
                </c:pt>
                <c:pt idx="96">
                  <c:v>8.6747683747894353</c:v>
                </c:pt>
                <c:pt idx="97">
                  <c:v>8.2229538506241404</c:v>
                </c:pt>
                <c:pt idx="98">
                  <c:v>7.8022083463883174</c:v>
                </c:pt>
                <c:pt idx="99">
                  <c:v>7.4178205363245615</c:v>
                </c:pt>
                <c:pt idx="100">
                  <c:v>7.0757182897211948</c:v>
                </c:pt>
                <c:pt idx="101">
                  <c:v>6.7823033329084739</c:v>
                </c:pt>
                <c:pt idx="102">
                  <c:v>6.5441278304581951</c:v>
                </c:pt>
                <c:pt idx="103">
                  <c:v>6.3673935798632169</c:v>
                </c:pt>
                <c:pt idx="104">
                  <c:v>6.2573088718792578</c:v>
                </c:pt>
                <c:pt idx="105">
                  <c:v>6.2174149783510648</c:v>
                </c:pt>
                <c:pt idx="106">
                  <c:v>6.2490563356125373</c:v>
                </c:pt>
                <c:pt idx="107">
                  <c:v>6.3511638725515471</c:v>
                </c:pt>
                <c:pt idx="108">
                  <c:v>6.5204280046679814</c:v>
                </c:pt>
                <c:pt idx="109">
                  <c:v>6.7517998763161442</c:v>
                </c:pt>
                <c:pt idx="110">
                  <c:v>9.1060218719592427</c:v>
                </c:pt>
                <c:pt idx="111">
                  <c:v>8.6148694433863593</c:v>
                </c:pt>
                <c:pt idx="112">
                  <c:v>8.1488918325311932</c:v>
                </c:pt>
                <c:pt idx="113">
                  <c:v>7.7126533727184281</c:v>
                </c:pt>
                <c:pt idx="114">
                  <c:v>7.3114791509533834</c:v>
                </c:pt>
                <c:pt idx="115">
                  <c:v>6.9514425898267191</c:v>
                </c:pt>
                <c:pt idx="116">
                  <c:v>6.6392395771049975</c:v>
                </c:pt>
                <c:pt idx="117">
                  <c:v>6.3818940466328344</c:v>
                </c:pt>
                <c:pt idx="118">
                  <c:v>6.1862559323396589</c:v>
                </c:pt>
                <c:pt idx="119">
                  <c:v>6.0583062547280804</c:v>
                </c:pt>
                <c:pt idx="120">
                  <c:v>6.0023752189826372</c:v>
                </c:pt>
                <c:pt idx="121">
                  <c:v>6.0204703504415722</c:v>
                </c:pt>
                <c:pt idx="122">
                  <c:v>6.1119341938002734</c:v>
                </c:pt>
                <c:pt idx="123">
                  <c:v>6.2735585847151922</c:v>
                </c:pt>
                <c:pt idx="124">
                  <c:v>6.5001120313477747</c:v>
                </c:pt>
                <c:pt idx="125">
                  <c:v>8.5756364396479992</c:v>
                </c:pt>
                <c:pt idx="126">
                  <c:v>8.0964870045702142</c:v>
                </c:pt>
                <c:pt idx="127">
                  <c:v>7.645703673504479</c:v>
                </c:pt>
                <c:pt idx="128">
                  <c:v>7.228595222352344</c:v>
                </c:pt>
                <c:pt idx="129">
                  <c:v>6.8513148002336113</c:v>
                </c:pt>
                <c:pt idx="130">
                  <c:v>6.5207792074946722</c:v>
                </c:pt>
                <c:pt idx="131">
                  <c:v>6.2444158919469235</c:v>
                </c:pt>
                <c:pt idx="132">
                  <c:v>6.0296782308854162</c:v>
                </c:pt>
                <c:pt idx="133">
                  <c:v>5.8833179994062377</c:v>
                </c:pt>
                <c:pt idx="134">
                  <c:v>5.8105045541649023</c:v>
                </c:pt>
                <c:pt idx="135">
                  <c:v>5.8140018097274844</c:v>
                </c:pt>
                <c:pt idx="136">
                  <c:v>5.8936739213132245</c:v>
                </c:pt>
                <c:pt idx="137">
                  <c:v>6.046510474292627</c:v>
                </c:pt>
                <c:pt idx="138">
                  <c:v>6.2671609934964208</c:v>
                </c:pt>
                <c:pt idx="139">
                  <c:v>8.0661614898374481</c:v>
                </c:pt>
                <c:pt idx="140">
                  <c:v>7.6019565196373211</c:v>
                </c:pt>
                <c:pt idx="141">
                  <c:v>7.1699822908069875</c:v>
                </c:pt>
                <c:pt idx="142">
                  <c:v>6.7764054300362648</c:v>
                </c:pt>
                <c:pt idx="143">
                  <c:v>6.4282825413693416</c:v>
                </c:pt>
                <c:pt idx="144">
                  <c:v>6.1333582716838349</c:v>
                </c:pt>
                <c:pt idx="145">
                  <c:v>5.8996162861410646</c:v>
                </c:pt>
                <c:pt idx="146">
                  <c:v>5.7345429056097386</c:v>
                </c:pt>
                <c:pt idx="147">
                  <c:v>5.6441663446931498</c:v>
                </c:pt>
                <c:pt idx="148">
                  <c:v>5.6320836725464583</c:v>
                </c:pt>
                <c:pt idx="149">
                  <c:v>5.6987929108076658</c:v>
                </c:pt>
                <c:pt idx="150">
                  <c:v>5.8415953440553166</c:v>
                </c:pt>
                <c:pt idx="151">
                  <c:v>6.055109665795948</c:v>
                </c:pt>
                <c:pt idx="152">
                  <c:v>7.5818135586384878</c:v>
                </c:pt>
                <c:pt idx="153">
                  <c:v>7.1362384251395374</c:v>
                </c:pt>
                <c:pt idx="154">
                  <c:v>6.7275569310583592</c:v>
                </c:pt>
                <c:pt idx="155">
                  <c:v>6.3628819758451005</c:v>
                </c:pt>
                <c:pt idx="156">
                  <c:v>6.0501762944683906</c:v>
                </c:pt>
                <c:pt idx="157">
                  <c:v>5.7978548384268649</c:v>
                </c:pt>
                <c:pt idx="158">
                  <c:v>5.614065339707234</c:v>
                </c:pt>
                <c:pt idx="159">
                  <c:v>5.5056752471648851</c:v>
                </c:pt>
                <c:pt idx="160">
                  <c:v>5.4771627320808971</c:v>
                </c:pt>
                <c:pt idx="161">
                  <c:v>5.5297635245874082</c:v>
                </c:pt>
                <c:pt idx="162">
                  <c:v>5.6612171005649117</c:v>
                </c:pt>
                <c:pt idx="163">
                  <c:v>5.8662249240298943</c:v>
                </c:pt>
                <c:pt idx="164">
                  <c:v>7.127716837702784</c:v>
                </c:pt>
                <c:pt idx="165">
                  <c:v>6.7053388890584262</c:v>
                </c:pt>
                <c:pt idx="166">
                  <c:v>6.3254180331007825</c:v>
                </c:pt>
                <c:pt idx="167">
                  <c:v>5.9960302156963454</c:v>
                </c:pt>
                <c:pt idx="168">
                  <c:v>5.7259029662857799</c:v>
                </c:pt>
                <c:pt idx="169">
                  <c:v>5.5237371940387199</c:v>
                </c:pt>
                <c:pt idx="170">
                  <c:v>5.3971753516078156</c:v>
                </c:pt>
                <c:pt idx="171">
                  <c:v>5.3515840964063051</c:v>
                </c:pt>
                <c:pt idx="172">
                  <c:v>5.3890188609360568</c:v>
                </c:pt>
                <c:pt idx="173">
                  <c:v>5.5077869969571225</c:v>
                </c:pt>
                <c:pt idx="174">
                  <c:v>5.7028091588168275</c:v>
                </c:pt>
                <c:pt idx="175">
                  <c:v>6.7100158436242729</c:v>
                </c:pt>
                <c:pt idx="176">
                  <c:v>6.3163878282211439</c:v>
                </c:pt>
                <c:pt idx="177">
                  <c:v>5.9717099016128854</c:v>
                </c:pt>
                <c:pt idx="178">
                  <c:v>5.6848926532743169</c:v>
                </c:pt>
                <c:pt idx="179">
                  <c:v>5.4650536307700541</c:v>
                </c:pt>
                <c:pt idx="180">
                  <c:v>5.3205017876928986</c:v>
                </c:pt>
                <c:pt idx="181">
                  <c:v>5.257450783050988</c:v>
                </c:pt>
                <c:pt idx="182">
                  <c:v>5.2788217982115375</c:v>
                </c:pt>
                <c:pt idx="183">
                  <c:v>5.3836095508546018</c:v>
                </c:pt>
                <c:pt idx="184">
                  <c:v>5.5671056566713544</c:v>
                </c:pt>
                <c:pt idx="185">
                  <c:v>6.335912937186353</c:v>
                </c:pt>
                <c:pt idx="186">
                  <c:v>5.9775794096423978</c:v>
                </c:pt>
                <c:pt idx="187">
                  <c:v>5.6754946768775891</c:v>
                </c:pt>
                <c:pt idx="188">
                  <c:v>5.4390390174791605</c:v>
                </c:pt>
                <c:pt idx="189">
                  <c:v>5.2770420140231247</c:v>
                </c:pt>
                <c:pt idx="190">
                  <c:v>5.1964719550459941</c:v>
                </c:pt>
                <c:pt idx="191">
                  <c:v>5.2011143535884274</c:v>
                </c:pt>
                <c:pt idx="192">
                  <c:v>5.2907449037292782</c:v>
                </c:pt>
                <c:pt idx="193">
                  <c:v>5.4611806536023719</c:v>
                </c:pt>
                <c:pt idx="194">
                  <c:v>6.013550340374783</c:v>
                </c:pt>
                <c:pt idx="195">
                  <c:v>5.6978654620270683</c:v>
                </c:pt>
                <c:pt idx="196">
                  <c:v>5.4461615224128224</c:v>
                </c:pt>
                <c:pt idx="197">
                  <c:v>5.2676181724541022</c:v>
                </c:pt>
                <c:pt idx="198">
                  <c:v>5.1698209322023105</c:v>
                </c:pt>
                <c:pt idx="199">
                  <c:v>5.1573653263091011</c:v>
                </c:pt>
                <c:pt idx="200">
                  <c:v>5.2308610309110035</c:v>
                </c:pt>
                <c:pt idx="201">
                  <c:v>5.3867911151353365</c:v>
                </c:pt>
                <c:pt idx="202">
                  <c:v>5.7516343301306598</c:v>
                </c:pt>
                <c:pt idx="203">
                  <c:v>5.4862920876344852</c:v>
                </c:pt>
                <c:pt idx="204">
                  <c:v>5.2924120825814081</c:v>
                </c:pt>
                <c:pt idx="205">
                  <c:v>5.1780277915994555</c:v>
                </c:pt>
                <c:pt idx="206">
                  <c:v>5.1484404771744936</c:v>
                </c:pt>
                <c:pt idx="207">
                  <c:v>5.20509637385811</c:v>
                </c:pt>
                <c:pt idx="208">
                  <c:v>5.3452538342910065</c:v>
                </c:pt>
                <c:pt idx="209">
                  <c:v>5.5587158644378567</c:v>
                </c:pt>
                <c:pt idx="210">
                  <c:v>5.3509481160837478</c:v>
                </c:pt>
                <c:pt idx="211">
                  <c:v>5.2209281548587745</c:v>
                </c:pt>
                <c:pt idx="212">
                  <c:v>5.174520000259311</c:v>
                </c:pt>
                <c:pt idx="213">
                  <c:v>5.2139567552560244</c:v>
                </c:pt>
                <c:pt idx="214">
                  <c:v>5.3373358743839576</c:v>
                </c:pt>
                <c:pt idx="215">
                  <c:v>5.4421375835482406</c:v>
                </c:pt>
                <c:pt idx="216">
                  <c:v>5.2976792498130063</c:v>
                </c:pt>
                <c:pt idx="217">
                  <c:v>5.2350807794378929</c:v>
                </c:pt>
                <c:pt idx="218">
                  <c:v>5.2572671111795852</c:v>
                </c:pt>
                <c:pt idx="219">
                  <c:v>5.3631861395117326</c:v>
                </c:pt>
                <c:pt idx="220">
                  <c:v>5.4068397162929722</c:v>
                </c:pt>
                <c:pt idx="221">
                  <c:v>5.3289473584825364</c:v>
                </c:pt>
                <c:pt idx="222">
                  <c:v>5.3341883692819358</c:v>
                </c:pt>
                <c:pt idx="223">
                  <c:v>5.422321693352127</c:v>
                </c:pt>
                <c:pt idx="224">
                  <c:v>5.4544004968279989</c:v>
                </c:pt>
                <c:pt idx="225">
                  <c:v>5.4432958111567276</c:v>
                </c:pt>
                <c:pt idx="226">
                  <c:v>5.5136716599218119</c:v>
                </c:pt>
                <c:pt idx="227">
                  <c:v>5.5827026308600383</c:v>
                </c:pt>
                <c:pt idx="228">
                  <c:v>5.6356697426955709</c:v>
                </c:pt>
                <c:pt idx="229">
                  <c:v>5.7863777419146514</c:v>
                </c:pt>
              </c:numCache>
            </c:numRef>
          </c:xVal>
          <c:yVal>
            <c:numRef>
              <c:f>'Step3 and Step4'!$K$2:$K$231</c:f>
              <c:numCache>
                <c:formatCode>0.00</c:formatCode>
                <c:ptCount val="230"/>
                <c:pt idx="0">
                  <c:v>1.2974416076391644</c:v>
                </c:pt>
                <c:pt idx="1">
                  <c:v>1.261325111060728</c:v>
                </c:pt>
                <c:pt idx="2">
                  <c:v>1.2263733452984893</c:v>
                </c:pt>
                <c:pt idx="3">
                  <c:v>1.1927507554454897</c:v>
                </c:pt>
                <c:pt idx="4">
                  <c:v>1.1606460272965275</c:v>
                </c:pt>
                <c:pt idx="5">
                  <c:v>1.1302740958484614</c:v>
                </c:pt>
                <c:pt idx="6">
                  <c:v>1.1018772068612004</c:v>
                </c:pt>
                <c:pt idx="7">
                  <c:v>1.0757243148068418</c:v>
                </c:pt>
                <c:pt idx="8">
                  <c:v>1.0521078984936478</c:v>
                </c:pt>
                <c:pt idx="9">
                  <c:v>1.0313371678200145</c:v>
                </c:pt>
                <c:pt idx="10">
                  <c:v>1.0137267617580059</c:v>
                </c:pt>
                <c:pt idx="11">
                  <c:v>0.99958056654866656</c:v>
                </c:pt>
                <c:pt idx="12">
                  <c:v>0.98917132185081225</c:v>
                </c:pt>
                <c:pt idx="13">
                  <c:v>0.98271813133904518</c:v>
                </c:pt>
                <c:pt idx="14">
                  <c:v>0.98036541985784664</c:v>
                </c:pt>
                <c:pt idx="15">
                  <c:v>0.98216757480818884</c:v>
                </c:pt>
                <c:pt idx="16">
                  <c:v>0.98808285119122852</c:v>
                </c:pt>
                <c:pt idx="17">
                  <c:v>0.99797806506058961</c:v>
                </c:pt>
                <c:pt idx="18">
                  <c:v>1.0116428961552235</c:v>
                </c:pt>
                <c:pt idx="19">
                  <c:v>1.0288104212851736</c:v>
                </c:pt>
                <c:pt idx="20">
                  <c:v>1.2922264076646972</c:v>
                </c:pt>
                <c:pt idx="21">
                  <c:v>1.2553327407507917</c:v>
                </c:pt>
                <c:pt idx="22">
                  <c:v>1.2195403191874981</c:v>
                </c:pt>
                <c:pt idx="23">
                  <c:v>1.1850100409911586</c:v>
                </c:pt>
                <c:pt idx="24">
                  <c:v>1.1519281984883254</c:v>
                </c:pt>
                <c:pt idx="25">
                  <c:v>1.1205092164026687</c:v>
                </c:pt>
                <c:pt idx="26">
                  <c:v>1.0909976604492322</c:v>
                </c:pt>
                <c:pt idx="27">
                  <c:v>1.063668778816774</c:v>
                </c:pt>
                <c:pt idx="28">
                  <c:v>1.0388265597441797</c:v>
                </c:pt>
                <c:pt idx="29">
                  <c:v>1.0167980617455166</c:v>
                </c:pt>
                <c:pt idx="30">
                  <c:v>0.99792275560465304</c:v>
                </c:pt>
                <c:pt idx="31">
                  <c:v>0.98253603389154032</c:v>
                </c:pt>
                <c:pt idx="32">
                  <c:v>0.97094710542345908</c:v>
                </c:pt>
                <c:pt idx="33">
                  <c:v>0.96341320968382083</c:v>
                </c:pt>
                <c:pt idx="34">
                  <c:v>0.96011404516952736</c:v>
                </c:pt>
                <c:pt idx="35">
                  <c:v>0.96113161930485957</c:v>
                </c:pt>
                <c:pt idx="36">
                  <c:v>0.96644041611768761</c:v>
                </c:pt>
                <c:pt idx="37">
                  <c:v>0.97591049858224577</c:v>
                </c:pt>
                <c:pt idx="38">
                  <c:v>0.98932270452008209</c:v>
                </c:pt>
                <c:pt idx="39">
                  <c:v>1.0063920242736217</c:v>
                </c:pt>
                <c:pt idx="40">
                  <c:v>1.2504130933589959</c:v>
                </c:pt>
                <c:pt idx="41">
                  <c:v>1.2138173496512636</c:v>
                </c:pt>
                <c:pt idx="42">
                  <c:v>1.1784152285672362</c:v>
                </c:pt>
                <c:pt idx="43">
                  <c:v>1.1443893178625735</c:v>
                </c:pt>
                <c:pt idx="44">
                  <c:v>1.1119518730899212</c:v>
                </c:pt>
                <c:pt idx="45">
                  <c:v>1.0813477787919061</c:v>
                </c:pt>
                <c:pt idx="46">
                  <c:v>1.0528563106216149</c:v>
                </c:pt>
                <c:pt idx="47">
                  <c:v>1.0267906229298029</c:v>
                </c:pt>
                <c:pt idx="48">
                  <c:v>1.0034935339421851</c:v>
                </c:pt>
                <c:pt idx="49">
                  <c:v>0.9833279849252996</c:v>
                </c:pt>
                <c:pt idx="50">
                  <c:v>0.96666078316993076</c:v>
                </c:pt>
                <c:pt idx="51">
                  <c:v>0.95383922852400538</c:v>
                </c:pt>
                <c:pt idx="52">
                  <c:v>0.94516214466190474</c:v>
                </c:pt>
                <c:pt idx="53">
                  <c:v>0.94084937484456765</c:v>
                </c:pt>
                <c:pt idx="54">
                  <c:v>0.94101593256944516</c:v>
                </c:pt>
                <c:pt idx="55">
                  <c:v>0.9456573022375383</c:v>
                </c:pt>
                <c:pt idx="56">
                  <c:v>0.95465003166388529</c:v>
                </c:pt>
                <c:pt idx="57">
                  <c:v>0.96776744357668876</c:v>
                </c:pt>
                <c:pt idx="58">
                  <c:v>0.9847060638987859</c:v>
                </c:pt>
                <c:pt idx="59">
                  <c:v>1.2092295394735513</c:v>
                </c:pt>
                <c:pt idx="60">
                  <c:v>1.1729976758381377</c:v>
                </c:pt>
                <c:pt idx="61">
                  <c:v>1.1380681382669089</c:v>
                </c:pt>
                <c:pt idx="62">
                  <c:v>1.1046494210655387</c:v>
                </c:pt>
                <c:pt idx="63">
                  <c:v>1.0729847061344391</c:v>
                </c:pt>
                <c:pt idx="64">
                  <c:v>1.0433548698932156</c:v>
                </c:pt>
                <c:pt idx="65">
                  <c:v>1.0160795325280627</c:v>
                </c:pt>
                <c:pt idx="66">
                  <c:v>0.99151458949967219</c:v>
                </c:pt>
                <c:pt idx="67">
                  <c:v>0.97004426937273358</c:v>
                </c:pt>
                <c:pt idx="68">
                  <c:v>0.95206574424716117</c:v>
                </c:pt>
                <c:pt idx="69">
                  <c:v>0.93796512063681814</c:v>
                </c:pt>
                <c:pt idx="70">
                  <c:v>0.92808564540505367</c:v>
                </c:pt>
                <c:pt idx="71">
                  <c:v>0.92269206434976492</c:v>
                </c:pt>
                <c:pt idx="72">
                  <c:v>0.92193820467168308</c:v>
                </c:pt>
                <c:pt idx="73">
                  <c:v>0.92584611833116148</c:v>
                </c:pt>
                <c:pt idx="74">
                  <c:v>0.93430296881760888</c:v>
                </c:pt>
                <c:pt idx="75">
                  <c:v>0.94707663478872062</c:v>
                </c:pt>
                <c:pt idx="76">
                  <c:v>0.96384528223271815</c:v>
                </c:pt>
                <c:pt idx="77">
                  <c:v>1.168784002697538</c:v>
                </c:pt>
                <c:pt idx="78">
                  <c:v>1.1329984701610873</c:v>
                </c:pt>
                <c:pt idx="79">
                  <c:v>1.0986442445003965</c:v>
                </c:pt>
                <c:pt idx="80">
                  <c:v>1.0659608588029019</c:v>
                </c:pt>
                <c:pt idx="81">
                  <c:v>1.0352283154492272</c:v>
                </c:pt>
                <c:pt idx="82">
                  <c:v>1.00676975564634</c:v>
                </c:pt>
                <c:pt idx="83">
                  <c:v>0.98095095665611498</c:v>
                </c:pt>
                <c:pt idx="84">
                  <c:v>0.95817443257036805</c:v>
                </c:pt>
                <c:pt idx="85">
                  <c:v>0.93886559240245249</c:v>
                </c:pt>
                <c:pt idx="86">
                  <c:v>0.92344889790176876</c:v>
                </c:pt>
                <c:pt idx="87">
                  <c:v>0.9123138851326138</c:v>
                </c:pt>
                <c:pt idx="88">
                  <c:v>0.9057744791243113</c:v>
                </c:pt>
                <c:pt idx="89">
                  <c:v>0.90402929556172507</c:v>
                </c:pt>
                <c:pt idx="90">
                  <c:v>0.90713324601053547</c:v>
                </c:pt>
                <c:pt idx="91">
                  <c:v>0.91498923209101801</c:v>
                </c:pt>
                <c:pt idx="92">
                  <c:v>0.92736269783642911</c:v>
                </c:pt>
                <c:pt idx="93">
                  <c:v>0.94391424618385589</c:v>
                </c:pt>
                <c:pt idx="94">
                  <c:v>1.1292083382840175</c:v>
                </c:pt>
                <c:pt idx="95">
                  <c:v>1.0939726364942777</c:v>
                </c:pt>
                <c:pt idx="96">
                  <c:v>1.0603224756510767</c:v>
                </c:pt>
                <c:pt idx="97">
                  <c:v>1.0285345884119124</c:v>
                </c:pt>
                <c:pt idx="98">
                  <c:v>0.99893259482894226</c:v>
                </c:pt>
                <c:pt idx="99">
                  <c:v>0.97188858515486243</c:v>
                </c:pt>
                <c:pt idx="100">
                  <c:v>0.94781962088377547</c:v>
                </c:pt>
                <c:pt idx="101">
                  <c:v>0.92717610222160252</c:v>
                </c:pt>
                <c:pt idx="102">
                  <c:v>0.91041901361536959</c:v>
                </c:pt>
                <c:pt idx="103">
                  <c:v>0.89798468906683859</c:v>
                </c:pt>
                <c:pt idx="104">
                  <c:v>0.89023956336372989</c:v>
                </c:pt>
                <c:pt idx="105">
                  <c:v>0.88743278642058443</c:v>
                </c:pt>
                <c:pt idx="106">
                  <c:v>0.88965894747324192</c:v>
                </c:pt>
                <c:pt idx="107">
                  <c:v>0.8968428308963845</c:v>
                </c:pt>
                <c:pt idx="108">
                  <c:v>0.90875158738289308</c:v>
                </c:pt>
                <c:pt idx="109">
                  <c:v>0.9250299993703206</c:v>
                </c:pt>
                <c:pt idx="110">
                  <c:v>1.090663770156505</c:v>
                </c:pt>
                <c:pt idx="111">
                  <c:v>1.0561082231750079</c:v>
                </c:pt>
                <c:pt idx="112">
                  <c:v>1.0233238770382729</c:v>
                </c:pt>
                <c:pt idx="113">
                  <c:v>0.99263186022997374</c:v>
                </c:pt>
                <c:pt idx="114">
                  <c:v>0.96440682486112106</c:v>
                </c:pt>
                <c:pt idx="115">
                  <c:v>0.93907607298187457</c:v>
                </c:pt>
                <c:pt idx="116">
                  <c:v>0.91711070083616919</c:v>
                </c:pt>
                <c:pt idx="117">
                  <c:v>0.8990048846956521</c:v>
                </c:pt>
                <c:pt idx="118">
                  <c:v>0.88524055888447239</c:v>
                </c:pt>
                <c:pt idx="119">
                  <c:v>0.87623852440645655</c:v>
                </c:pt>
                <c:pt idx="120">
                  <c:v>0.87230343741311467</c:v>
                </c:pt>
                <c:pt idx="121">
                  <c:v>0.87357653946634573</c:v>
                </c:pt>
                <c:pt idx="122">
                  <c:v>0.8800115746049757</c:v>
                </c:pt>
                <c:pt idx="123">
                  <c:v>0.89138282904393762</c:v>
                </c:pt>
                <c:pt idx="124">
                  <c:v>0.90732223565886494</c:v>
                </c:pt>
                <c:pt idx="125">
                  <c:v>1.0533479438298656</c:v>
                </c:pt>
                <c:pt idx="126">
                  <c:v>1.0196368801116271</c:v>
                </c:pt>
                <c:pt idx="127">
                  <c:v>0.9879215435502684</c:v>
                </c:pt>
                <c:pt idx="128">
                  <c:v>0.9585754386718961</c:v>
                </c:pt>
                <c:pt idx="129">
                  <c:v>0.93203147677069109</c:v>
                </c:pt>
                <c:pt idx="130">
                  <c:v>0.9087762966280718</c:v>
                </c:pt>
                <c:pt idx="131">
                  <c:v>0.88933246416628164</c:v>
                </c:pt>
                <c:pt idx="132">
                  <c:v>0.87422436960372651</c:v>
                </c:pt>
                <c:pt idx="133">
                  <c:v>0.86392704119633779</c:v>
                </c:pt>
                <c:pt idx="134">
                  <c:v>0.85880417448216406</c:v>
                </c:pt>
                <c:pt idx="135">
                  <c:v>0.85905022758476246</c:v>
                </c:pt>
                <c:pt idx="136">
                  <c:v>0.86465564300134856</c:v>
                </c:pt>
                <c:pt idx="137">
                  <c:v>0.87540861983649432</c:v>
                </c:pt>
                <c:pt idx="138">
                  <c:v>0.89093271976814492</c:v>
                </c:pt>
                <c:pt idx="139">
                  <c:v>1.0175032965474959</c:v>
                </c:pt>
                <c:pt idx="140">
                  <c:v>0.98484366641311172</c:v>
                </c:pt>
                <c:pt idx="141">
                  <c:v>0.9544516640717704</c:v>
                </c:pt>
                <c:pt idx="142">
                  <c:v>0.92676114904630191</c:v>
                </c:pt>
                <c:pt idx="143">
                  <c:v>0.90226859615469135</c:v>
                </c:pt>
                <c:pt idx="144">
                  <c:v>0.88151888819393975</c:v>
                </c:pt>
                <c:pt idx="145">
                  <c:v>0.86507372434441798</c:v>
                </c:pt>
                <c:pt idx="146">
                  <c:v>0.8534598126043923</c:v>
                </c:pt>
                <c:pt idx="147">
                  <c:v>0.84710127436840377</c:v>
                </c:pt>
                <c:pt idx="148">
                  <c:v>0.84625118522959974</c:v>
                </c:pt>
                <c:pt idx="149">
                  <c:v>0.85094458402543394</c:v>
                </c:pt>
                <c:pt idx="150">
                  <c:v>0.86099159978691464</c:v>
                </c:pt>
                <c:pt idx="151">
                  <c:v>0.87601362502166524</c:v>
                </c:pt>
                <c:pt idx="152">
                  <c:v>0.98342648715337733</c:v>
                </c:pt>
                <c:pt idx="153">
                  <c:v>0.95207757882333355</c:v>
                </c:pt>
                <c:pt idx="154">
                  <c:v>0.92332436139503993</c:v>
                </c:pt>
                <c:pt idx="155">
                  <c:v>0.89766727040912597</c:v>
                </c:pt>
                <c:pt idx="156">
                  <c:v>0.87566653248018689</c:v>
                </c:pt>
                <c:pt idx="157">
                  <c:v>0.85791419039360228</c:v>
                </c:pt>
                <c:pt idx="158">
                  <c:v>0.84498348642423449</c:v>
                </c:pt>
                <c:pt idx="159">
                  <c:v>0.83735758717731645</c:v>
                </c:pt>
                <c:pt idx="160">
                  <c:v>0.83535155911509507</c:v>
                </c:pt>
                <c:pt idx="161">
                  <c:v>0.83905234333396606</c:v>
                </c:pt>
                <c:pt idx="162">
                  <c:v>0.84830089827601363</c:v>
                </c:pt>
                <c:pt idx="163">
                  <c:v>0.86272443985536151</c:v>
                </c:pt>
                <c:pt idx="164">
                  <c:v>0.95147803355409133</c:v>
                </c:pt>
                <c:pt idx="165">
                  <c:v>0.92176118762351567</c:v>
                </c:pt>
                <c:pt idx="166">
                  <c:v>0.89503145521551075</c:v>
                </c:pt>
                <c:pt idx="167">
                  <c:v>0.87185702801676035</c:v>
                </c:pt>
                <c:pt idx="168">
                  <c:v>0.85285194056333602</c:v>
                </c:pt>
                <c:pt idx="169">
                  <c:v>0.83862835449407314</c:v>
                </c:pt>
                <c:pt idx="170">
                  <c:v>0.82972396262352177</c:v>
                </c:pt>
                <c:pt idx="171">
                  <c:v>0.82651634179257361</c:v>
                </c:pt>
                <c:pt idx="172">
                  <c:v>0.82915010412213741</c:v>
                </c:pt>
                <c:pt idx="173">
                  <c:v>0.83750616156057023</c:v>
                </c:pt>
                <c:pt idx="174">
                  <c:v>0.8512271513888352</c:v>
                </c:pt>
                <c:pt idx="175">
                  <c:v>0.92209023969335879</c:v>
                </c:pt>
                <c:pt idx="176">
                  <c:v>0.8943961256297901</c:v>
                </c:pt>
                <c:pt idx="177">
                  <c:v>0.87014594667617184</c:v>
                </c:pt>
                <c:pt idx="178">
                  <c:v>0.84996661675029661</c:v>
                </c:pt>
                <c:pt idx="179">
                  <c:v>0.83449961052458033</c:v>
                </c:pt>
                <c:pt idx="180">
                  <c:v>0.82432951318997372</c:v>
                </c:pt>
                <c:pt idx="181">
                  <c:v>0.81989349327765271</c:v>
                </c:pt>
                <c:pt idx="182">
                  <c:v>0.82139707358279024</c:v>
                </c:pt>
                <c:pt idx="183">
                  <c:v>0.82876952640780077</c:v>
                </c:pt>
                <c:pt idx="184">
                  <c:v>0.84167958841013413</c:v>
                </c:pt>
                <c:pt idx="185">
                  <c:v>0.89576983525823795</c:v>
                </c:pt>
                <c:pt idx="186">
                  <c:v>0.87055890210237508</c:v>
                </c:pt>
                <c:pt idx="187">
                  <c:v>0.84930541221171429</c:v>
                </c:pt>
                <c:pt idx="188">
                  <c:v>0.83266932497679025</c:v>
                </c:pt>
                <c:pt idx="189">
                  <c:v>0.82127185498961686</c:v>
                </c:pt>
                <c:pt idx="190">
                  <c:v>0.81560326353751722</c:v>
                </c:pt>
                <c:pt idx="191">
                  <c:v>0.8159298843818974</c:v>
                </c:pt>
                <c:pt idx="192">
                  <c:v>0.82223593624316804</c:v>
                </c:pt>
                <c:pt idx="193">
                  <c:v>0.83422712313229563</c:v>
                </c:pt>
                <c:pt idx="194">
                  <c:v>0.87308967486166456</c:v>
                </c:pt>
                <c:pt idx="195">
                  <c:v>0.8508793323885766</c:v>
                </c:pt>
                <c:pt idx="196">
                  <c:v>0.83317043632134014</c:v>
                </c:pt>
                <c:pt idx="197">
                  <c:v>0.82060883067956558</c:v>
                </c:pt>
                <c:pt idx="198">
                  <c:v>0.81372820272461277</c:v>
                </c:pt>
                <c:pt idx="199">
                  <c:v>0.81285187543885251</c:v>
                </c:pt>
                <c:pt idx="200">
                  <c:v>0.81802274322971069</c:v>
                </c:pt>
                <c:pt idx="201">
                  <c:v>0.82899336871740115</c:v>
                </c:pt>
                <c:pt idx="202">
                  <c:v>0.85466229779769476</c:v>
                </c:pt>
                <c:pt idx="203">
                  <c:v>0.83599386455102553</c:v>
                </c:pt>
                <c:pt idx="204">
                  <c:v>0.82235323236917668</c:v>
                </c:pt>
                <c:pt idx="205">
                  <c:v>0.81430560497078019</c:v>
                </c:pt>
                <c:pt idx="206">
                  <c:v>0.81222395826766025</c:v>
                </c:pt>
                <c:pt idx="207">
                  <c:v>0.81621004361659799</c:v>
                </c:pt>
                <c:pt idx="208">
                  <c:v>0.82607096952684733</c:v>
                </c:pt>
                <c:pt idx="209">
                  <c:v>0.84108931573138135</c:v>
                </c:pt>
                <c:pt idx="210">
                  <c:v>0.82647159672640469</c:v>
                </c:pt>
                <c:pt idx="211">
                  <c:v>0.81732390526186938</c:v>
                </c:pt>
                <c:pt idx="212">
                  <c:v>0.81405881061244245</c:v>
                </c:pt>
                <c:pt idx="213">
                  <c:v>0.81683342509220069</c:v>
                </c:pt>
                <c:pt idx="214">
                  <c:v>0.82551389310892009</c:v>
                </c:pt>
                <c:pt idx="215">
                  <c:v>0.83288732785969666</c:v>
                </c:pt>
                <c:pt idx="216">
                  <c:v>0.82272380947343682</c:v>
                </c:pt>
                <c:pt idx="217">
                  <c:v>0.81831962808660674</c:v>
                </c:pt>
                <c:pt idx="218">
                  <c:v>0.8198805708494773</c:v>
                </c:pt>
                <c:pt idx="219">
                  <c:v>0.827332615768406</c:v>
                </c:pt>
                <c:pt idx="220">
                  <c:v>0.83040390919101537</c:v>
                </c:pt>
                <c:pt idx="221">
                  <c:v>0.82492371022785638</c:v>
                </c:pt>
                <c:pt idx="222">
                  <c:v>0.82529244706874993</c:v>
                </c:pt>
                <c:pt idx="223">
                  <c:v>0.83149316001114992</c:v>
                </c:pt>
                <c:pt idx="224">
                  <c:v>0.83375009805346312</c:v>
                </c:pt>
                <c:pt idx="225">
                  <c:v>0.8329688161843225</c:v>
                </c:pt>
                <c:pt idx="226">
                  <c:v>0.83792018322821726</c:v>
                </c:pt>
                <c:pt idx="227">
                  <c:v>0.84277692997456921</c:v>
                </c:pt>
                <c:pt idx="228">
                  <c:v>0.84650348697607924</c:v>
                </c:pt>
                <c:pt idx="229">
                  <c:v>0.8571067071670786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17-4DB0-90B2-C0F83B63A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680687"/>
        <c:axId val="476681647"/>
      </c:scatterChart>
      <c:valAx>
        <c:axId val="4766806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Standard Deviation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81647"/>
        <c:crosses val="autoZero"/>
        <c:crossBetween val="midCat"/>
      </c:valAx>
      <c:valAx>
        <c:axId val="47668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Mean 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806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60960</xdr:colOff>
      <xdr:row>13</xdr:row>
      <xdr:rowOff>64770</xdr:rowOff>
    </xdr:from>
    <xdr:to>
      <xdr:col>12</xdr:col>
      <xdr:colOff>571500</xdr:colOff>
      <xdr:row>29</xdr:row>
      <xdr:rowOff>125730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FC68602-126B-3951-A1C7-DCF406C305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9878</xdr:colOff>
      <xdr:row>19</xdr:row>
      <xdr:rowOff>37636</xdr:rowOff>
    </xdr:from>
    <xdr:to>
      <xdr:col>19</xdr:col>
      <xdr:colOff>573757</xdr:colOff>
      <xdr:row>43</xdr:row>
      <xdr:rowOff>3717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6195747-74AD-6DD6-7366-CAF611C80F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45</xdr:row>
      <xdr:rowOff>0</xdr:rowOff>
    </xdr:from>
    <xdr:to>
      <xdr:col>19</xdr:col>
      <xdr:colOff>563879</xdr:colOff>
      <xdr:row>68</xdr:row>
      <xdr:rowOff>133349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BA92C6F-B5DC-423E-8855-9B479F8EEB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C6ADB5-5B57-4DB9-A13A-67B6774815AA}" name="Table1" displayName="Table1" ref="A1:D101" totalsRowShown="0">
  <autoFilter ref="A1:D101" xr:uid="{7EC6ADB5-5B57-4DB9-A13A-67B6774815AA}">
    <filterColumn colId="0" hiddenButton="1"/>
    <filterColumn colId="1" hiddenButton="1"/>
    <filterColumn colId="2" hiddenButton="1"/>
    <filterColumn colId="3" hiddenButton="1"/>
  </autoFilter>
  <tableColumns count="4">
    <tableColumn id="1" xr3:uid="{7CF9B1F4-D929-4211-A539-74410B3B8364}" name="W1" dataDxfId="8"/>
    <tableColumn id="2" xr3:uid="{F61C6E9E-93D8-4DE1-ACCB-285A0886C932}" name="W2" dataDxfId="6">
      <calculatedColumnFormula>1-Table1[[#This Row],[W1]]</calculatedColumnFormula>
    </tableColumn>
    <tableColumn id="3" xr3:uid="{A6B37988-7718-4538-934D-F8CE50B617F6}" name="Standard Deviation" dataDxfId="7">
      <calculatedColumnFormula>SQRT(Table1[[#This Row],[W1]]*Table1[[#This Row],[W1]]*$H$5*$H$5+Table1[[#This Row],[W2]]*Table1[[#This Row],[W2]]*$H$8*$H$8+2*Table1[[#This Row],[W1]]*Table1[[#This Row],[W2]]*$H$5*$H$8*$H$10)</calculatedColumnFormula>
    </tableColumn>
    <tableColumn id="4" xr3:uid="{095BFEE5-E8B6-4F77-8B87-3E19A154E69E}" name="Mean returns" dataDxfId="9">
      <calculatedColumnFormula>Table1[[#This Row],[W1]]*$H$4+Table1[[#This Row],[W2]]*$H$7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1500D0-2E4E-494A-B3E9-199690A18246}" name="Table2" displayName="Table2" ref="A1:I231" totalsRowShown="0">
  <autoFilter ref="A1:I231" xr:uid="{791500D0-2E4E-494A-B3E9-199690A1824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AA37708-89C6-443B-A13F-36740FC0851B}" name="V1"/>
    <tableColumn id="2" xr3:uid="{16B841C7-4597-4E82-8476-255414C949A6}" name="V2"/>
    <tableColumn id="3" xr3:uid="{1FD026D4-CA32-4BD3-951B-965A5FB91068}" name="V3"/>
    <tableColumn id="6" xr3:uid="{4777A354-4C41-4B40-8CD9-B0C82DD70825}" name="w1" dataDxfId="5">
      <calculatedColumnFormula>Table2[[#This Row],[V1]]/100</calculatedColumnFormula>
    </tableColumn>
    <tableColumn id="7" xr3:uid="{AD5D63FE-C292-4967-8E56-EFC9BBD0E982}" name="w2" dataDxfId="4">
      <calculatedColumnFormula>Table2[[#This Row],[V2]]/100</calculatedColumnFormula>
    </tableColumn>
    <tableColumn id="8" xr3:uid="{401318EB-7500-47C9-8FA2-383E47D4A6DD}" name="w3" dataDxfId="3">
      <calculatedColumnFormula>Table2[[#This Row],[V3]]/100</calculatedColumnFormula>
    </tableColumn>
    <tableColumn id="9" xr3:uid="{93493836-C67E-4D0B-973C-EC7CB87EC659}" name="total" dataDxfId="2">
      <calculatedColumnFormula>SUM(Table2[[#This Row],[w1]:[w3]])</calculatedColumnFormula>
    </tableColumn>
    <tableColumn id="5" xr3:uid="{6DC65415-A080-4A48-8FF3-9704A9AA9E6B}" name="Standard Deviations" dataDxfId="1">
      <calculatedColumnFormula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calculatedColumnFormula>
    </tableColumn>
    <tableColumn id="11" xr3:uid="{35A0A720-4297-4186-93F9-EBED4D146F37}" name="Mean Returns" dataDxfId="0">
      <calculatedColumnFormula>Table2[[#This Row],[w1]]*$N$7+Table2[[#This Row],[w2]]*$N$10+Table2[[#This Row],[w3]]*$R$7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zoomScale="85" zoomScaleNormal="85" workbookViewId="0">
      <selection activeCell="C225" sqref="C225"/>
    </sheetView>
  </sheetViews>
  <sheetFormatPr defaultColWidth="12.6640625" defaultRowHeight="15" customHeight="1" x14ac:dyDescent="0.25"/>
  <cols>
    <col min="1" max="1" width="25.44140625" customWidth="1"/>
    <col min="2" max="2" width="23.6640625" customWidth="1"/>
    <col min="3" max="3" width="11.6640625" customWidth="1"/>
    <col min="4" max="4" width="12" customWidth="1"/>
    <col min="5" max="5" width="12.44140625" customWidth="1"/>
    <col min="6" max="6" width="11.88671875" customWidth="1"/>
    <col min="7" max="26" width="9.109375" customWidth="1"/>
  </cols>
  <sheetData>
    <row r="1" spans="1:26" ht="12.75" customHeight="1" x14ac:dyDescent="0.3">
      <c r="A1" s="31" t="s">
        <v>0</v>
      </c>
      <c r="B1" s="32"/>
      <c r="C1" s="32"/>
      <c r="D1" s="32"/>
      <c r="E1" s="32"/>
      <c r="F1" s="32"/>
      <c r="G1" s="32"/>
      <c r="H1" s="3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customHeight="1" x14ac:dyDescent="0.3">
      <c r="A2" s="33" t="s">
        <v>1</v>
      </c>
      <c r="B2" s="32"/>
      <c r="C2" s="32"/>
      <c r="D2" s="32"/>
      <c r="E2" s="32"/>
      <c r="F2" s="32"/>
      <c r="G2" s="32"/>
      <c r="H2" s="32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75" customHeight="1" x14ac:dyDescent="0.25">
      <c r="A3" s="34" t="s">
        <v>2</v>
      </c>
      <c r="B3" s="32"/>
      <c r="C3" s="32"/>
      <c r="D3" s="32"/>
      <c r="E3" s="32"/>
      <c r="F3" s="32"/>
      <c r="G3" s="32"/>
      <c r="H3" s="32"/>
      <c r="I3" s="2"/>
      <c r="J3" s="3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75" customHeight="1" x14ac:dyDescent="0.25">
      <c r="A4" s="34"/>
      <c r="B4" s="32"/>
      <c r="C4" s="32"/>
      <c r="D4" s="32"/>
      <c r="E4" s="32"/>
      <c r="F4" s="32"/>
      <c r="G4" s="32"/>
      <c r="H4" s="32"/>
      <c r="I4" s="2"/>
      <c r="J4" s="3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75" customHeight="1" x14ac:dyDescent="0.25">
      <c r="A5" s="35"/>
      <c r="B5" s="32"/>
      <c r="C5" s="32"/>
      <c r="D5" s="32"/>
      <c r="E5" s="32"/>
      <c r="F5" s="32"/>
      <c r="G5" s="32"/>
      <c r="H5" s="32"/>
      <c r="I5" s="2"/>
      <c r="J5" s="4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75" customHeight="1" x14ac:dyDescent="0.25">
      <c r="A6" s="5" t="s">
        <v>3</v>
      </c>
      <c r="B6" s="6" t="s">
        <v>4</v>
      </c>
      <c r="C6" s="6" t="s">
        <v>5</v>
      </c>
      <c r="D6" s="1"/>
      <c r="E6" s="1"/>
      <c r="F6" s="1"/>
      <c r="G6" s="7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75" customHeight="1" x14ac:dyDescent="0.25">
      <c r="A7" s="8" t="s">
        <v>6</v>
      </c>
      <c r="B7" s="9" t="s">
        <v>6</v>
      </c>
      <c r="C7" s="1" t="s">
        <v>7</v>
      </c>
      <c r="D7" s="10"/>
      <c r="E7" s="1"/>
      <c r="F7" s="10"/>
      <c r="G7" s="7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75" customHeight="1" x14ac:dyDescent="0.25">
      <c r="A8" s="8" t="s">
        <v>8</v>
      </c>
      <c r="B8" s="9" t="s">
        <v>9</v>
      </c>
      <c r="C8" s="1" t="s">
        <v>10</v>
      </c>
      <c r="D8" s="1"/>
      <c r="E8" s="1"/>
      <c r="F8" s="1"/>
      <c r="G8" s="7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25">
      <c r="A9" s="8" t="s">
        <v>11</v>
      </c>
      <c r="B9" s="9" t="s">
        <v>12</v>
      </c>
      <c r="C9" s="1" t="s">
        <v>13</v>
      </c>
      <c r="D9" s="1"/>
      <c r="E9" s="1"/>
      <c r="F9" s="1"/>
      <c r="G9" s="7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25">
      <c r="A10" s="8" t="s">
        <v>14</v>
      </c>
      <c r="B10" s="9" t="s">
        <v>15</v>
      </c>
      <c r="C10" s="1" t="s">
        <v>16</v>
      </c>
      <c r="D10" s="1"/>
      <c r="E10" s="1"/>
      <c r="F10" s="1"/>
      <c r="G10" s="7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25">
      <c r="A11" s="8"/>
      <c r="B11" s="9"/>
      <c r="C11" s="11"/>
      <c r="D11" s="1"/>
      <c r="E11" s="1"/>
      <c r="F11" s="1"/>
      <c r="G11" s="7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25">
      <c r="A12" s="12" t="s">
        <v>17</v>
      </c>
      <c r="B12" s="12" t="s">
        <v>18</v>
      </c>
      <c r="C12" s="12" t="s">
        <v>6</v>
      </c>
      <c r="D12" s="13" t="s">
        <v>8</v>
      </c>
      <c r="E12" s="13" t="s">
        <v>11</v>
      </c>
      <c r="F12" s="13" t="s">
        <v>14</v>
      </c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ht="12.75" customHeight="1" x14ac:dyDescent="0.25">
      <c r="A13" s="1">
        <v>1990</v>
      </c>
      <c r="B13" s="1">
        <v>1</v>
      </c>
      <c r="C13" s="15">
        <v>-6.713599308398055</v>
      </c>
      <c r="D13" s="10">
        <v>-6.53939</v>
      </c>
      <c r="E13" s="10">
        <v>-0.31052999999999997</v>
      </c>
      <c r="F13" s="10">
        <v>-9.6846200000000007</v>
      </c>
      <c r="G13" s="16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ht="12.75" customHeight="1" x14ac:dyDescent="0.25">
      <c r="A14" s="1">
        <v>1990</v>
      </c>
      <c r="B14" s="1">
        <v>2</v>
      </c>
      <c r="C14" s="15">
        <v>1.2880823423377485</v>
      </c>
      <c r="D14" s="10">
        <v>0.62873999999999997</v>
      </c>
      <c r="E14" s="10">
        <v>8.2123199999999983</v>
      </c>
      <c r="F14" s="10">
        <v>-9.993940000000002</v>
      </c>
      <c r="G14" s="16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ht="12.75" customHeight="1" x14ac:dyDescent="0.25">
      <c r="A15" s="1">
        <v>1990</v>
      </c>
      <c r="B15" s="1">
        <v>3</v>
      </c>
      <c r="C15" s="15">
        <v>2.6496808890475787</v>
      </c>
      <c r="D15" s="10">
        <v>-0.50983999999999996</v>
      </c>
      <c r="E15" s="10">
        <v>12.229079999999998</v>
      </c>
      <c r="F15" s="10">
        <v>3.8993500000000005</v>
      </c>
      <c r="G15" s="16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ht="12.75" customHeight="1" x14ac:dyDescent="0.25">
      <c r="A16" s="1">
        <v>1990</v>
      </c>
      <c r="B16" s="1">
        <v>4</v>
      </c>
      <c r="C16" s="15">
        <v>-2.4945991114009747</v>
      </c>
      <c r="D16" s="10">
        <v>-4.21523</v>
      </c>
      <c r="E16" s="10">
        <v>-2.8874499999999999</v>
      </c>
      <c r="F16" s="10">
        <v>-5.7812099999999997</v>
      </c>
      <c r="G16" s="16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2.75" customHeight="1" x14ac:dyDescent="0.25">
      <c r="A17" s="1">
        <v>1990</v>
      </c>
      <c r="B17" s="1">
        <v>5</v>
      </c>
      <c r="C17" s="15">
        <v>9.7504284937920627</v>
      </c>
      <c r="D17" s="10">
        <v>1.5308999999999999</v>
      </c>
      <c r="E17" s="10">
        <v>18.537979999999997</v>
      </c>
      <c r="F17" s="10">
        <v>18.37378</v>
      </c>
      <c r="G17" s="16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2.75" customHeight="1" x14ac:dyDescent="0.25">
      <c r="A18" s="1">
        <v>1990</v>
      </c>
      <c r="B18" s="1">
        <v>6</v>
      </c>
      <c r="C18" s="15">
        <v>-0.67470626026850944</v>
      </c>
      <c r="D18" s="10">
        <v>2.4862100000000003</v>
      </c>
      <c r="E18" s="10">
        <v>6.3752000000000004</v>
      </c>
      <c r="F18" s="10">
        <v>-3.4225599999999998</v>
      </c>
      <c r="G18" s="16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2.75" customHeight="1" x14ac:dyDescent="0.25">
      <c r="A19" s="1">
        <v>1990</v>
      </c>
      <c r="B19" s="1">
        <v>7</v>
      </c>
      <c r="C19" s="15">
        <v>-0.32059804061931318</v>
      </c>
      <c r="D19" s="10">
        <v>0.32017000000000001</v>
      </c>
      <c r="E19" s="10">
        <v>-1.38205</v>
      </c>
      <c r="F19" s="10">
        <v>3.4211300000000002</v>
      </c>
      <c r="G19" s="16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2.75" customHeight="1" x14ac:dyDescent="0.25">
      <c r="A20" s="1">
        <v>1990</v>
      </c>
      <c r="B20" s="1">
        <v>8</v>
      </c>
      <c r="C20" s="15">
        <v>-9.0389597065838938</v>
      </c>
      <c r="D20" s="10">
        <v>-9.3887000000000018</v>
      </c>
      <c r="E20" s="10">
        <v>-16.117320000000003</v>
      </c>
      <c r="F20" s="10">
        <v>-26.630610000000001</v>
      </c>
      <c r="G20" s="16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2.75" customHeight="1" x14ac:dyDescent="0.25">
      <c r="A21" s="1">
        <v>1990</v>
      </c>
      <c r="B21" s="1">
        <v>9</v>
      </c>
      <c r="C21" s="15">
        <v>-4.8667975006203452</v>
      </c>
      <c r="D21" s="10">
        <v>-0.1</v>
      </c>
      <c r="E21" s="10">
        <v>-13.830570000000002</v>
      </c>
      <c r="F21" s="10">
        <v>-12.043700000000001</v>
      </c>
      <c r="G21" s="16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2.75" customHeight="1" x14ac:dyDescent="0.25">
      <c r="A22" s="1">
        <v>1990</v>
      </c>
      <c r="B22" s="1">
        <v>10</v>
      </c>
      <c r="C22" s="15">
        <v>-0.4256227251710154</v>
      </c>
      <c r="D22" s="10">
        <v>5.5603800000000003</v>
      </c>
      <c r="E22" s="10">
        <v>7.4075100000000003</v>
      </c>
      <c r="F22" s="10">
        <v>0.95818999999999988</v>
      </c>
      <c r="G22" s="16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2.75" customHeight="1" x14ac:dyDescent="0.25">
      <c r="A23" s="1">
        <v>1990</v>
      </c>
      <c r="B23" s="1">
        <v>11</v>
      </c>
      <c r="C23" s="15">
        <v>6.4640186693337265</v>
      </c>
      <c r="D23" s="10">
        <v>2.9357100000000003</v>
      </c>
      <c r="E23" s="10">
        <v>-0.65866000000000013</v>
      </c>
      <c r="F23" s="10">
        <v>18.748009999999997</v>
      </c>
      <c r="G23" s="16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2.75" customHeight="1" x14ac:dyDescent="0.25">
      <c r="A24" s="1">
        <v>1990</v>
      </c>
      <c r="B24" s="1">
        <v>12</v>
      </c>
      <c r="C24" s="15">
        <v>2.7855441359025512</v>
      </c>
      <c r="D24" s="10">
        <v>-0.98496000000000006</v>
      </c>
      <c r="E24" s="10">
        <v>2.4423700000000004</v>
      </c>
      <c r="F24" s="10">
        <v>3.5116000000000005</v>
      </c>
      <c r="G24" s="16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2.75" customHeight="1" x14ac:dyDescent="0.25">
      <c r="A25" s="1">
        <v>1991</v>
      </c>
      <c r="B25" s="1">
        <v>1</v>
      </c>
      <c r="C25" s="15">
        <v>4.35518223436</v>
      </c>
      <c r="D25" s="10">
        <v>-1.88571</v>
      </c>
      <c r="E25" s="10">
        <v>8.7154299999999978</v>
      </c>
      <c r="F25" s="10">
        <v>5.0282100000000005</v>
      </c>
      <c r="G25" s="16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2.75" customHeight="1" x14ac:dyDescent="0.25">
      <c r="A26" s="1">
        <v>1991</v>
      </c>
      <c r="B26" s="1">
        <v>2</v>
      </c>
      <c r="C26" s="15">
        <v>7.1514589122150252</v>
      </c>
      <c r="D26" s="10">
        <v>5.7181800000000003</v>
      </c>
      <c r="E26" s="10">
        <v>-1.87215</v>
      </c>
      <c r="F26" s="10">
        <v>0.30715000000000003</v>
      </c>
      <c r="G26" s="16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2.75" customHeight="1" x14ac:dyDescent="0.25">
      <c r="A27" s="1">
        <v>1991</v>
      </c>
      <c r="B27" s="1">
        <v>3</v>
      </c>
      <c r="C27" s="15">
        <v>2.421438267190168</v>
      </c>
      <c r="D27" s="10">
        <v>2.0929800000000003</v>
      </c>
      <c r="E27" s="10">
        <v>-2.6906699999999995</v>
      </c>
      <c r="F27" s="10">
        <v>5.2441000000000004</v>
      </c>
      <c r="G27" s="16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2.75" customHeight="1" x14ac:dyDescent="0.25">
      <c r="A28" s="1">
        <v>1991</v>
      </c>
      <c r="B28" s="1">
        <v>4</v>
      </c>
      <c r="C28" s="15">
        <v>0.23679910315606012</v>
      </c>
      <c r="D28" s="10">
        <v>1.6167399999999998</v>
      </c>
      <c r="E28" s="10">
        <v>-2.7595799999999997</v>
      </c>
      <c r="F28" s="10">
        <v>4.1464600000000003</v>
      </c>
      <c r="G28" s="16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2.75" customHeight="1" x14ac:dyDescent="0.25">
      <c r="A29" s="1">
        <v>1991</v>
      </c>
      <c r="B29" s="1">
        <v>5</v>
      </c>
      <c r="C29" s="15">
        <v>4.313921555153799</v>
      </c>
      <c r="D29" s="10">
        <v>-1.02827</v>
      </c>
      <c r="E29" s="10">
        <v>7.27705</v>
      </c>
      <c r="F29" s="10">
        <v>-0.46977999999999998</v>
      </c>
      <c r="G29" s="16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2.75" customHeight="1" x14ac:dyDescent="0.25">
      <c r="A30" s="1">
        <v>1991</v>
      </c>
      <c r="B30" s="1">
        <v>6</v>
      </c>
      <c r="C30" s="15">
        <v>-4.581189591922497</v>
      </c>
      <c r="D30" s="10">
        <v>-1.40435</v>
      </c>
      <c r="E30" s="10">
        <v>-6.4938599999999997</v>
      </c>
      <c r="F30" s="10">
        <v>-20.100470000000001</v>
      </c>
      <c r="G30" s="16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2.75" customHeight="1" x14ac:dyDescent="0.25">
      <c r="A31" s="1">
        <v>1991</v>
      </c>
      <c r="B31" s="1">
        <v>7</v>
      </c>
      <c r="C31" s="15">
        <v>4.6609231384517225</v>
      </c>
      <c r="D31" s="10">
        <v>4.3052900000000003</v>
      </c>
      <c r="E31" s="10">
        <v>1.2661199999999999</v>
      </c>
      <c r="F31" s="10">
        <v>0.36804000000000003</v>
      </c>
      <c r="G31" s="16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2.75" customHeight="1" x14ac:dyDescent="0.25">
      <c r="A32" s="1">
        <v>1991</v>
      </c>
      <c r="B32" s="1">
        <v>8</v>
      </c>
      <c r="C32" s="15">
        <v>2.3691788393389146</v>
      </c>
      <c r="D32" s="10">
        <v>3.6130800000000005</v>
      </c>
      <c r="E32" s="10">
        <v>7.71671</v>
      </c>
      <c r="F32" s="10">
        <v>6.8759500000000005</v>
      </c>
      <c r="G32" s="16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2.75" customHeight="1" x14ac:dyDescent="0.25">
      <c r="A33" s="1">
        <v>1991</v>
      </c>
      <c r="B33" s="1">
        <v>9</v>
      </c>
      <c r="C33" s="15">
        <v>-1.6735472001635388</v>
      </c>
      <c r="D33" s="10">
        <v>1.55975</v>
      </c>
      <c r="E33" s="10">
        <v>1.91005</v>
      </c>
      <c r="F33" s="10">
        <v>-0.88191000000000008</v>
      </c>
      <c r="G33" s="16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2.75" customHeight="1" x14ac:dyDescent="0.25">
      <c r="A34" s="1">
        <v>1991</v>
      </c>
      <c r="B34" s="1">
        <v>10</v>
      </c>
      <c r="C34" s="15">
        <v>1.3445416129979959</v>
      </c>
      <c r="D34" s="10">
        <v>2.7571400000000001</v>
      </c>
      <c r="E34" s="10">
        <v>-3.0556699999999997</v>
      </c>
      <c r="F34" s="10">
        <v>-0.54122999999999999</v>
      </c>
      <c r="G34" s="16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ht="12.75" customHeight="1" x14ac:dyDescent="0.25">
      <c r="A35" s="1">
        <v>1991</v>
      </c>
      <c r="B35" s="1">
        <v>11</v>
      </c>
      <c r="C35" s="15">
        <v>-4.0293881555476307</v>
      </c>
      <c r="D35" s="10">
        <v>2.2015900000000004</v>
      </c>
      <c r="E35" s="10">
        <v>-9.7446700000000011</v>
      </c>
      <c r="F35" s="10">
        <v>-7.1796499999999996</v>
      </c>
      <c r="G35" s="16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ht="12.75" customHeight="1" x14ac:dyDescent="0.25">
      <c r="A36" s="1">
        <v>1991</v>
      </c>
      <c r="B36" s="1">
        <v>12</v>
      </c>
      <c r="C36" s="15">
        <v>11.436563826499913</v>
      </c>
      <c r="D36" s="10">
        <v>8.2003999999999984</v>
      </c>
      <c r="E36" s="10">
        <v>7.8096100000000002</v>
      </c>
      <c r="F36" s="10">
        <v>10.472189999999999</v>
      </c>
      <c r="G36" s="16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ht="12.75" customHeight="1" x14ac:dyDescent="0.25">
      <c r="A37" s="1">
        <v>1992</v>
      </c>
      <c r="B37" s="1">
        <v>1</v>
      </c>
      <c r="C37" s="15">
        <v>-1.8635081405991683</v>
      </c>
      <c r="D37" s="10">
        <v>-5.5744499999999997</v>
      </c>
      <c r="E37" s="10">
        <v>6.4445000000000006</v>
      </c>
      <c r="F37" s="10">
        <v>-15.684310000000002</v>
      </c>
      <c r="G37" s="16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ht="12.75" customHeight="1" x14ac:dyDescent="0.25">
      <c r="A38" s="1">
        <v>1992</v>
      </c>
      <c r="B38" s="1">
        <v>2</v>
      </c>
      <c r="C38" s="15">
        <v>1.2951061727870528</v>
      </c>
      <c r="D38" s="10">
        <v>-2.8799199999999998</v>
      </c>
      <c r="E38" s="10">
        <v>-9.1909100000000006</v>
      </c>
      <c r="F38" s="10">
        <v>25.54082</v>
      </c>
      <c r="G38" s="16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ht="12.75" customHeight="1" x14ac:dyDescent="0.25">
      <c r="A39" s="1">
        <v>1992</v>
      </c>
      <c r="B39" s="1">
        <v>3</v>
      </c>
      <c r="C39" s="15">
        <v>-1.9448773152177856</v>
      </c>
      <c r="D39" s="10">
        <v>-0.50485999999999998</v>
      </c>
      <c r="E39" s="10">
        <v>-4.71957</v>
      </c>
      <c r="F39" s="10">
        <v>-2.4679899999999995</v>
      </c>
      <c r="G39" s="16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ht="12.75" customHeight="1" x14ac:dyDescent="0.25">
      <c r="A40" s="1">
        <v>1992</v>
      </c>
      <c r="B40" s="1">
        <v>4</v>
      </c>
      <c r="C40" s="15">
        <v>2.9352880530803205</v>
      </c>
      <c r="D40" s="10">
        <v>3.9650400000000001</v>
      </c>
      <c r="E40" s="10">
        <v>0.18490000000000001</v>
      </c>
      <c r="F40" s="10">
        <v>-5.9823499999999994</v>
      </c>
      <c r="G40" s="16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ht="12.75" customHeight="1" x14ac:dyDescent="0.25">
      <c r="A41" s="1">
        <v>1992</v>
      </c>
      <c r="B41" s="1">
        <v>5</v>
      </c>
      <c r="C41" s="15">
        <v>0.49019098538987116</v>
      </c>
      <c r="D41" s="10">
        <v>0.60312999999999994</v>
      </c>
      <c r="E41" s="10">
        <v>0.18409000000000003</v>
      </c>
      <c r="F41" s="10">
        <v>-1.88571</v>
      </c>
      <c r="G41" s="16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ht="12.75" customHeight="1" x14ac:dyDescent="0.25">
      <c r="A42" s="1">
        <v>1992</v>
      </c>
      <c r="B42" s="1">
        <v>6</v>
      </c>
      <c r="C42" s="15">
        <v>-1.4869727047146508</v>
      </c>
      <c r="D42" s="10">
        <v>0.69050999999999996</v>
      </c>
      <c r="E42" s="10">
        <v>-9.2168100000000006</v>
      </c>
      <c r="F42" s="10">
        <v>-10.463640000000002</v>
      </c>
      <c r="G42" s="16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ht="12.75" customHeight="1" x14ac:dyDescent="0.25">
      <c r="A43" s="1">
        <v>1992</v>
      </c>
      <c r="B43" s="1">
        <v>7</v>
      </c>
      <c r="C43" s="15">
        <v>4.085355230484744</v>
      </c>
      <c r="D43" s="10">
        <v>8.9196099999999987</v>
      </c>
      <c r="E43" s="10">
        <v>0.21348</v>
      </c>
      <c r="F43" s="10">
        <v>0.92040999999999995</v>
      </c>
      <c r="G43" s="16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ht="12.75" customHeight="1" x14ac:dyDescent="0.25">
      <c r="A44" s="1">
        <v>1992</v>
      </c>
      <c r="B44" s="1">
        <v>8</v>
      </c>
      <c r="C44" s="15">
        <v>-2.0466975348477079</v>
      </c>
      <c r="D44" s="10">
        <v>-4.8481999999999994</v>
      </c>
      <c r="E44" s="10">
        <v>-6.35</v>
      </c>
      <c r="F44" s="10">
        <v>-5.1505099999999997</v>
      </c>
      <c r="G44" s="16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ht="12.75" customHeight="1" x14ac:dyDescent="0.25">
      <c r="A45" s="1">
        <v>1992</v>
      </c>
      <c r="B45" s="1">
        <v>9</v>
      </c>
      <c r="C45" s="15">
        <v>1.1751553869180587</v>
      </c>
      <c r="D45" s="10">
        <v>1.4384599999999998</v>
      </c>
      <c r="E45" s="10">
        <v>-1.44228</v>
      </c>
      <c r="F45" s="10">
        <v>15.964679999999998</v>
      </c>
      <c r="G45" s="16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ht="12.75" customHeight="1" x14ac:dyDescent="0.25">
      <c r="A46" s="1">
        <v>1992</v>
      </c>
      <c r="B46" s="1">
        <v>10</v>
      </c>
      <c r="C46" s="15">
        <v>0.34552154829468051</v>
      </c>
      <c r="D46" s="10">
        <v>-1.6151500000000001</v>
      </c>
      <c r="E46" s="10">
        <v>-2.1408199999999997</v>
      </c>
      <c r="F46" s="10">
        <v>-2.4048699999999998</v>
      </c>
      <c r="G46" s="16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2.75" customHeight="1" x14ac:dyDescent="0.25">
      <c r="A47" s="1">
        <v>1992</v>
      </c>
      <c r="B47" s="1">
        <v>11</v>
      </c>
      <c r="C47" s="15">
        <v>3.4049913917048036</v>
      </c>
      <c r="D47" s="10">
        <v>-2.4846199999999996</v>
      </c>
      <c r="E47" s="10">
        <v>-1.8361100000000001</v>
      </c>
      <c r="F47" s="10">
        <v>13.107549999999998</v>
      </c>
      <c r="G47" s="16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2.75" customHeight="1" x14ac:dyDescent="0.25">
      <c r="A48" s="1">
        <v>1992</v>
      </c>
      <c r="B48" s="1">
        <v>12</v>
      </c>
      <c r="C48" s="15">
        <v>1.2272513335425117</v>
      </c>
      <c r="D48" s="10">
        <v>6.3257000000000003</v>
      </c>
      <c r="E48" s="10">
        <v>14.134879999999999</v>
      </c>
      <c r="F48" s="10">
        <v>-0.43332999999999999</v>
      </c>
      <c r="G48" s="16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2.75" customHeight="1" x14ac:dyDescent="0.25">
      <c r="A49" s="1">
        <v>1993</v>
      </c>
      <c r="B49" s="1">
        <v>1</v>
      </c>
      <c r="C49" s="15">
        <v>0.83614567067951118</v>
      </c>
      <c r="D49" s="10">
        <v>2.1641500000000002</v>
      </c>
      <c r="E49" s="10">
        <v>-12.249530000000002</v>
      </c>
      <c r="F49" s="10">
        <v>-11.443870000000002</v>
      </c>
      <c r="G49" s="16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2.75" customHeight="1" x14ac:dyDescent="0.25">
      <c r="A50" s="1">
        <v>1993</v>
      </c>
      <c r="B50" s="1">
        <v>2</v>
      </c>
      <c r="C50" s="15">
        <v>1.3627438548763138</v>
      </c>
      <c r="D50" s="10">
        <v>6.8372700000000002</v>
      </c>
      <c r="E50" s="10">
        <v>-1.8730500000000001</v>
      </c>
      <c r="F50" s="10">
        <v>-4.8392999999999997</v>
      </c>
      <c r="G50" s="16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2.75" customHeight="1" x14ac:dyDescent="0.25">
      <c r="A51" s="1">
        <v>1993</v>
      </c>
      <c r="B51" s="1">
        <v>3</v>
      </c>
      <c r="C51" s="15">
        <v>2.109983756233591</v>
      </c>
      <c r="D51" s="10">
        <v>3.4087700000000005</v>
      </c>
      <c r="E51" s="10">
        <v>1.7181799999999998</v>
      </c>
      <c r="F51" s="10">
        <v>18.407309999999999</v>
      </c>
      <c r="G51" s="16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2.75" customHeight="1" x14ac:dyDescent="0.25">
      <c r="A52" s="1">
        <v>1993</v>
      </c>
      <c r="B52" s="1">
        <v>4</v>
      </c>
      <c r="C52" s="15">
        <v>-2.417030028642031</v>
      </c>
      <c r="D52" s="10">
        <v>0.57796999999999987</v>
      </c>
      <c r="E52" s="10">
        <v>8.471429999999998</v>
      </c>
      <c r="F52" s="10">
        <v>-0.1</v>
      </c>
      <c r="G52" s="16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2.75" customHeight="1" x14ac:dyDescent="0.25">
      <c r="A53" s="1">
        <v>1993</v>
      </c>
      <c r="B53" s="1">
        <v>5</v>
      </c>
      <c r="C53" s="15">
        <v>2.6751100441698483</v>
      </c>
      <c r="D53" s="10">
        <v>-5.5545499999999999</v>
      </c>
      <c r="E53" s="10">
        <v>4.8342100000000006</v>
      </c>
      <c r="F53" s="10">
        <v>4.1193800000000005</v>
      </c>
      <c r="G53" s="16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2.75" customHeight="1" x14ac:dyDescent="0.25">
      <c r="A54" s="1">
        <v>1993</v>
      </c>
      <c r="B54" s="1">
        <v>6</v>
      </c>
      <c r="C54" s="15">
        <v>0.29272214924753737</v>
      </c>
      <c r="D54" s="10">
        <v>9.3202899999999982</v>
      </c>
      <c r="E54" s="10">
        <v>-6.7246099999999993</v>
      </c>
      <c r="F54" s="10">
        <v>-2.4488099999999995</v>
      </c>
      <c r="G54" s="16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2.75" customHeight="1" x14ac:dyDescent="0.25">
      <c r="A55" s="1">
        <v>1993</v>
      </c>
      <c r="B55" s="1">
        <v>7</v>
      </c>
      <c r="C55" s="15">
        <v>-0.40214947694706682</v>
      </c>
      <c r="D55" s="10">
        <v>1.5556299999999998</v>
      </c>
      <c r="E55" s="10">
        <v>6.3189200000000003</v>
      </c>
      <c r="F55" s="10">
        <v>-4.6826699999999999</v>
      </c>
      <c r="G55" s="16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2.75" customHeight="1" x14ac:dyDescent="0.25">
      <c r="A56" s="1">
        <v>1993</v>
      </c>
      <c r="B56" s="1">
        <v>8</v>
      </c>
      <c r="C56" s="15">
        <v>3.7942073283824485</v>
      </c>
      <c r="D56" s="10">
        <v>2.4407200000000002</v>
      </c>
      <c r="E56" s="10">
        <v>1.16984</v>
      </c>
      <c r="F56" s="10">
        <v>5.5761200000000004</v>
      </c>
      <c r="G56" s="16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2.75" customHeight="1" x14ac:dyDescent="0.25">
      <c r="A57" s="1">
        <v>1993</v>
      </c>
      <c r="B57" s="1">
        <v>9</v>
      </c>
      <c r="C57" s="15">
        <v>-0.76676893826356229</v>
      </c>
      <c r="D57" s="10">
        <v>-0.74516000000000004</v>
      </c>
      <c r="E57" s="10">
        <v>-3.2545699999999997</v>
      </c>
      <c r="F57" s="10">
        <v>22.70992</v>
      </c>
      <c r="G57" s="16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2.75" customHeight="1" x14ac:dyDescent="0.25">
      <c r="A58" s="1">
        <v>1993</v>
      </c>
      <c r="B58" s="1">
        <v>10</v>
      </c>
      <c r="C58" s="15">
        <v>2.06849981092323</v>
      </c>
      <c r="D58" s="10">
        <v>-0.1</v>
      </c>
      <c r="E58" s="10">
        <v>-2.3801299999999999</v>
      </c>
      <c r="F58" s="10">
        <v>10.373509999999998</v>
      </c>
      <c r="G58" s="16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2.75" customHeight="1" x14ac:dyDescent="0.25">
      <c r="A59" s="1">
        <v>1993</v>
      </c>
      <c r="B59" s="1">
        <v>11</v>
      </c>
      <c r="C59" s="15">
        <v>-0.95321770518527194</v>
      </c>
      <c r="D59" s="10">
        <v>-4.7103899999999994</v>
      </c>
      <c r="E59" s="10">
        <v>3.5666700000000002</v>
      </c>
      <c r="F59" s="10">
        <v>11.520739999999998</v>
      </c>
      <c r="G59" s="16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2.75" customHeight="1" x14ac:dyDescent="0.25">
      <c r="A60" s="1">
        <v>1993</v>
      </c>
      <c r="B60" s="1">
        <v>12</v>
      </c>
      <c r="C60" s="15">
        <v>1.2090899051323989</v>
      </c>
      <c r="D60" s="10">
        <v>2.6681700000000004</v>
      </c>
      <c r="E60" s="10">
        <v>11.874109999999998</v>
      </c>
      <c r="F60" s="10">
        <v>8.7214399999999994</v>
      </c>
      <c r="G60" s="16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2.75" customHeight="1" x14ac:dyDescent="0.25">
      <c r="A61" s="1">
        <v>1994</v>
      </c>
      <c r="B61" s="1">
        <v>1</v>
      </c>
      <c r="C61" s="15">
        <v>3.3996712436774157</v>
      </c>
      <c r="D61" s="10">
        <v>-2.7935999999999996</v>
      </c>
      <c r="E61" s="10">
        <v>-0.1</v>
      </c>
      <c r="F61" s="10">
        <v>-3.6353499999999999</v>
      </c>
      <c r="G61" s="16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2.75" customHeight="1" x14ac:dyDescent="0.25">
      <c r="A62" s="1">
        <v>1994</v>
      </c>
      <c r="B62" s="1">
        <v>2</v>
      </c>
      <c r="C62" s="15">
        <v>-2.7141249900003328</v>
      </c>
      <c r="D62" s="10">
        <v>-6.7435999999999998</v>
      </c>
      <c r="E62" s="10">
        <v>8.5705199999999984</v>
      </c>
      <c r="F62" s="10">
        <v>-13.189010000000001</v>
      </c>
      <c r="G62" s="16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2.75" customHeight="1" x14ac:dyDescent="0.25">
      <c r="A63" s="1">
        <v>1994</v>
      </c>
      <c r="B63" s="1">
        <v>3</v>
      </c>
      <c r="C63" s="15">
        <v>-4.3597230799915287</v>
      </c>
      <c r="D63" s="10">
        <v>-7.2698099999999997</v>
      </c>
      <c r="E63" s="10">
        <v>-4.9128299999999996</v>
      </c>
      <c r="F63" s="10">
        <v>-12.389160000000002</v>
      </c>
      <c r="G63" s="16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2.75" customHeight="1" x14ac:dyDescent="0.25">
      <c r="A64" s="1">
        <v>1994</v>
      </c>
      <c r="B64" s="1">
        <v>4</v>
      </c>
      <c r="C64" s="15">
        <v>1.2823467860840765</v>
      </c>
      <c r="D64" s="10">
        <v>5.5910600000000006</v>
      </c>
      <c r="E64" s="10">
        <v>1.0235999999999998</v>
      </c>
      <c r="F64" s="10">
        <v>-8.7201400000000007</v>
      </c>
      <c r="G64" s="16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2.75" customHeight="1" x14ac:dyDescent="0.25">
      <c r="A65" s="1">
        <v>1994</v>
      </c>
      <c r="B65" s="1">
        <v>5</v>
      </c>
      <c r="C65" s="15">
        <v>1.6410675066466318</v>
      </c>
      <c r="D65" s="10">
        <v>-9.4076900000000006</v>
      </c>
      <c r="E65" s="10">
        <v>3.5111100000000004</v>
      </c>
      <c r="F65" s="10">
        <v>12.730109999999998</v>
      </c>
      <c r="G65" s="16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2.75" customHeight="1" x14ac:dyDescent="0.25">
      <c r="A66" s="1">
        <v>1994</v>
      </c>
      <c r="B66" s="1">
        <v>6</v>
      </c>
      <c r="C66" s="15">
        <v>-2.4511772545535271</v>
      </c>
      <c r="D66" s="10">
        <v>-2.2644999999999995</v>
      </c>
      <c r="E66" s="10">
        <v>-0.36953999999999998</v>
      </c>
      <c r="F66" s="10">
        <v>-7.39147</v>
      </c>
      <c r="G66" s="16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2.75" customHeight="1" x14ac:dyDescent="0.25">
      <c r="A67" s="1">
        <v>1994</v>
      </c>
      <c r="B67" s="1">
        <v>7</v>
      </c>
      <c r="C67" s="15">
        <v>3.2836875815183575</v>
      </c>
      <c r="D67" s="10">
        <v>7.8646000000000003</v>
      </c>
      <c r="E67" s="10">
        <v>-3.6135099999999998</v>
      </c>
      <c r="F67" s="10">
        <v>8.2339099999999981</v>
      </c>
      <c r="G67" s="16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2.75" customHeight="1" x14ac:dyDescent="0.25">
      <c r="A68" s="1">
        <v>1994</v>
      </c>
      <c r="B68" s="1">
        <v>8</v>
      </c>
      <c r="C68" s="15">
        <v>4.0999537904201411</v>
      </c>
      <c r="D68" s="10">
        <v>5.1459000000000001</v>
      </c>
      <c r="E68" s="10">
        <v>2.4210100000000003</v>
      </c>
      <c r="F68" s="10">
        <v>7.5917300000000001</v>
      </c>
      <c r="G68" s="16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2.75" customHeight="1" x14ac:dyDescent="0.25">
      <c r="A69" s="1">
        <v>1994</v>
      </c>
      <c r="B69" s="1">
        <v>9</v>
      </c>
      <c r="C69" s="15">
        <v>-2.4453262129211062</v>
      </c>
      <c r="D69" s="10">
        <v>-0.49682999999999999</v>
      </c>
      <c r="E69" s="10">
        <v>-5.0450599999999994</v>
      </c>
      <c r="F69" s="10">
        <v>7.1049700000000007</v>
      </c>
      <c r="G69" s="16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2.75" customHeight="1" x14ac:dyDescent="0.25">
      <c r="A70" s="1">
        <v>1994</v>
      </c>
      <c r="B70" s="1">
        <v>10</v>
      </c>
      <c r="C70" s="15">
        <v>2.2466329162288634</v>
      </c>
      <c r="D70" s="10">
        <v>1.8920299999999999</v>
      </c>
      <c r="E70" s="10">
        <v>1.3473999999999999</v>
      </c>
      <c r="F70" s="10">
        <v>2.8116300000000005</v>
      </c>
      <c r="G70" s="16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2.75" customHeight="1" x14ac:dyDescent="0.25">
      <c r="A71" s="1">
        <v>1994</v>
      </c>
      <c r="B71" s="1">
        <v>11</v>
      </c>
      <c r="C71" s="15">
        <v>-3.6419009700525473</v>
      </c>
      <c r="D71" s="10">
        <v>4.9000000000000004</v>
      </c>
      <c r="E71" s="10">
        <v>2.7489400000000002</v>
      </c>
      <c r="F71" s="10">
        <v>3.5698900000000005</v>
      </c>
      <c r="G71" s="16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2.75" customHeight="1" x14ac:dyDescent="0.25">
      <c r="A72" s="1">
        <v>1994</v>
      </c>
      <c r="B72" s="1">
        <v>12</v>
      </c>
      <c r="C72" s="15">
        <v>1.4833682948756532</v>
      </c>
      <c r="D72" s="10">
        <v>-0.47878999999999999</v>
      </c>
      <c r="E72" s="10">
        <v>4.6330400000000003</v>
      </c>
      <c r="F72" s="10">
        <v>9.2818099999999983</v>
      </c>
      <c r="G72" s="16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2.75" customHeight="1" x14ac:dyDescent="0.25">
      <c r="A73" s="1">
        <v>1995</v>
      </c>
      <c r="B73" s="1">
        <v>1</v>
      </c>
      <c r="C73" s="15">
        <v>2.5933420762369597</v>
      </c>
      <c r="D73" s="10">
        <v>6.36388</v>
      </c>
      <c r="E73" s="10">
        <v>-5.4191499999999992</v>
      </c>
      <c r="F73" s="10">
        <v>-11.596000000000002</v>
      </c>
      <c r="G73" s="16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2.75" customHeight="1" x14ac:dyDescent="0.25">
      <c r="A74" s="1">
        <v>1995</v>
      </c>
      <c r="B74" s="1">
        <v>2</v>
      </c>
      <c r="C74" s="15">
        <v>3.8971615295402495</v>
      </c>
      <c r="D74" s="10">
        <v>-1.6</v>
      </c>
      <c r="E74" s="10">
        <v>4.1157300000000001</v>
      </c>
      <c r="F74" s="10">
        <v>1.02989</v>
      </c>
      <c r="G74" s="16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2.75" customHeight="1" x14ac:dyDescent="0.25">
      <c r="A75" s="1">
        <v>1995</v>
      </c>
      <c r="B75" s="1">
        <v>3</v>
      </c>
      <c r="C75" s="15">
        <v>2.9506903738757861</v>
      </c>
      <c r="D75" s="10">
        <v>-6.3730599999999997</v>
      </c>
      <c r="E75" s="10">
        <v>16.428639999999998</v>
      </c>
      <c r="F75" s="10">
        <v>7.0058300000000004</v>
      </c>
      <c r="G75" s="16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2.75" customHeight="1" x14ac:dyDescent="0.25">
      <c r="A76" s="1">
        <v>1995</v>
      </c>
      <c r="B76" s="1">
        <v>4</v>
      </c>
      <c r="C76" s="15">
        <v>2.9446308724832226</v>
      </c>
      <c r="D76" s="10">
        <v>3.0496100000000004</v>
      </c>
      <c r="E76" s="10">
        <v>2.2255800000000003</v>
      </c>
      <c r="F76" s="10">
        <v>3.5605800000000003</v>
      </c>
      <c r="G76" s="16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2.75" customHeight="1" x14ac:dyDescent="0.25">
      <c r="A77" s="1">
        <v>1995</v>
      </c>
      <c r="B77" s="1">
        <v>5</v>
      </c>
      <c r="C77" s="15">
        <v>3.996844838959146</v>
      </c>
      <c r="D77" s="10">
        <v>6.3122100000000003</v>
      </c>
      <c r="E77" s="10">
        <v>7.4018200000000007</v>
      </c>
      <c r="F77" s="10">
        <v>-5.6515199999999997</v>
      </c>
      <c r="G77" s="16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2.75" customHeight="1" x14ac:dyDescent="0.25">
      <c r="A78" s="1">
        <v>1995</v>
      </c>
      <c r="B78" s="1">
        <v>6</v>
      </c>
      <c r="C78" s="15">
        <v>2.3227378440675572</v>
      </c>
      <c r="D78" s="10">
        <v>2.4547400000000001</v>
      </c>
      <c r="E78" s="10">
        <v>6.2693200000000004</v>
      </c>
      <c r="F78" s="10">
        <v>11.244969999999999</v>
      </c>
      <c r="G78" s="16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2.75" customHeight="1" x14ac:dyDescent="0.25">
      <c r="A79" s="1">
        <v>1995</v>
      </c>
      <c r="B79" s="1">
        <v>7</v>
      </c>
      <c r="C79" s="15">
        <v>3.3162974105108267</v>
      </c>
      <c r="D79" s="10">
        <v>-1.8793600000000001</v>
      </c>
      <c r="E79" s="10">
        <v>6.8843200000000007</v>
      </c>
      <c r="F79" s="10">
        <v>14.357549999999998</v>
      </c>
      <c r="G79" s="16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2.75" customHeight="1" x14ac:dyDescent="0.25">
      <c r="A80" s="1">
        <v>1995</v>
      </c>
      <c r="B80" s="1">
        <v>8</v>
      </c>
      <c r="C80" s="15">
        <v>0.25132234433258294</v>
      </c>
      <c r="D80" s="10">
        <v>0.55216999999999994</v>
      </c>
      <c r="E80" s="10">
        <v>-4.2044799999999993</v>
      </c>
      <c r="F80" s="10">
        <v>4.5348700000000006</v>
      </c>
      <c r="G80" s="16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2.75" customHeight="1" x14ac:dyDescent="0.25">
      <c r="A81" s="1">
        <v>1995</v>
      </c>
      <c r="B81" s="1">
        <v>9</v>
      </c>
      <c r="C81" s="15">
        <v>4.2201962849549801</v>
      </c>
      <c r="D81" s="10">
        <v>6.4934100000000008</v>
      </c>
      <c r="E81" s="10">
        <v>6.5406300000000002</v>
      </c>
      <c r="F81" s="10">
        <v>-2.0250599999999999</v>
      </c>
      <c r="G81" s="16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2.75" customHeight="1" x14ac:dyDescent="0.25">
      <c r="A82" s="1">
        <v>1995</v>
      </c>
      <c r="B82" s="1">
        <v>10</v>
      </c>
      <c r="C82" s="15">
        <v>-0.35739814152967453</v>
      </c>
      <c r="D82" s="10">
        <v>4.7110000000000003</v>
      </c>
      <c r="E82" s="10">
        <v>-4.1292999999999997</v>
      </c>
      <c r="F82" s="10">
        <v>-18.825310000000002</v>
      </c>
      <c r="G82" s="16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2.75" customHeight="1" x14ac:dyDescent="0.25">
      <c r="A83" s="1">
        <v>1995</v>
      </c>
      <c r="B83" s="1">
        <v>11</v>
      </c>
      <c r="C83" s="15">
        <v>4.3898677585586077</v>
      </c>
      <c r="D83" s="10">
        <v>0.49015999999999998</v>
      </c>
      <c r="E83" s="10">
        <v>11.542749999999998</v>
      </c>
      <c r="F83" s="10">
        <v>-3.6401799999999995</v>
      </c>
      <c r="G83" s="16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2.75" customHeight="1" x14ac:dyDescent="0.25">
      <c r="A84" s="1">
        <v>1995</v>
      </c>
      <c r="B84" s="1">
        <v>12</v>
      </c>
      <c r="C84" s="15">
        <v>1.92620007875699</v>
      </c>
      <c r="D84" s="10">
        <v>7.1847700000000003</v>
      </c>
      <c r="E84" s="10">
        <v>7.4470700000000001</v>
      </c>
      <c r="F84" s="10">
        <v>-12.546460000000002</v>
      </c>
      <c r="G84" s="16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2.75" customHeight="1" x14ac:dyDescent="0.25">
      <c r="A85" s="1">
        <v>1996</v>
      </c>
      <c r="B85" s="1">
        <v>1</v>
      </c>
      <c r="C85" s="15">
        <v>3.4036073844568859</v>
      </c>
      <c r="D85" s="10">
        <v>9.159259999999998</v>
      </c>
      <c r="E85" s="10">
        <v>-1.2176900000000002</v>
      </c>
      <c r="F85" s="10">
        <v>-7.9265099999999995</v>
      </c>
      <c r="G85" s="16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2.75" customHeight="1" x14ac:dyDescent="0.25">
      <c r="A86" s="1">
        <v>1996</v>
      </c>
      <c r="B86" s="1">
        <v>2</v>
      </c>
      <c r="C86" s="15">
        <v>0.92710622710621138</v>
      </c>
      <c r="D86" s="10">
        <v>-1.85141</v>
      </c>
      <c r="E86" s="10">
        <v>4.9012900000000004</v>
      </c>
      <c r="F86" s="10">
        <v>14.278329999999999</v>
      </c>
      <c r="G86" s="16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2.75" customHeight="1" x14ac:dyDescent="0.25">
      <c r="A87" s="1">
        <v>1996</v>
      </c>
      <c r="B87" s="1">
        <v>3</v>
      </c>
      <c r="C87" s="15">
        <v>0.96262610498758505</v>
      </c>
      <c r="D87" s="10">
        <v>-2.7239099999999996</v>
      </c>
      <c r="E87" s="10">
        <v>6.6795800000000005</v>
      </c>
      <c r="F87" s="10">
        <v>6.0711500000000003</v>
      </c>
      <c r="G87" s="16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2.75" customHeight="1" x14ac:dyDescent="0.25">
      <c r="A88" s="1">
        <v>1996</v>
      </c>
      <c r="B88" s="1">
        <v>4</v>
      </c>
      <c r="C88" s="15">
        <v>1.4743274818764807</v>
      </c>
      <c r="D88" s="10">
        <v>-2.7946099999999996</v>
      </c>
      <c r="E88" s="10">
        <v>-5.2947499999999996</v>
      </c>
      <c r="F88" s="10">
        <v>12.059469999999999</v>
      </c>
      <c r="G88" s="16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2.75" customHeight="1" x14ac:dyDescent="0.25">
      <c r="A89" s="1">
        <v>1996</v>
      </c>
      <c r="B89" s="1">
        <v>5</v>
      </c>
      <c r="C89" s="15">
        <v>2.5789569394488288</v>
      </c>
      <c r="D89" s="10">
        <v>0.14615</v>
      </c>
      <c r="E89" s="10">
        <v>4.0448500000000003</v>
      </c>
      <c r="F89" s="10">
        <v>3.9943800000000005</v>
      </c>
      <c r="G89" s="16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2.75" customHeight="1" x14ac:dyDescent="0.25">
      <c r="A90" s="1">
        <v>1996</v>
      </c>
      <c r="B90" s="1">
        <v>6</v>
      </c>
      <c r="C90" s="15">
        <v>0.38149221705228165</v>
      </c>
      <c r="D90" s="10">
        <v>6.1305300000000003</v>
      </c>
      <c r="E90" s="10">
        <v>2.1005900000000004</v>
      </c>
      <c r="F90" s="10">
        <v>-11.996300000000002</v>
      </c>
      <c r="G90" s="16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2.75" customHeight="1" x14ac:dyDescent="0.25">
      <c r="A91" s="1">
        <v>1996</v>
      </c>
      <c r="B91" s="1">
        <v>7</v>
      </c>
      <c r="C91" s="15">
        <v>-4.4180787332226412</v>
      </c>
      <c r="D91" s="10">
        <v>-2.7392999999999996</v>
      </c>
      <c r="E91" s="10">
        <v>1.4770299999999998</v>
      </c>
      <c r="F91" s="10">
        <v>-10.915600000000001</v>
      </c>
      <c r="G91" s="16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2.75" customHeight="1" x14ac:dyDescent="0.25">
      <c r="A92" s="1">
        <v>1996</v>
      </c>
      <c r="B92" s="1">
        <v>8</v>
      </c>
      <c r="C92" s="15">
        <v>2.1094636716809667</v>
      </c>
      <c r="D92" s="10">
        <v>1.34578</v>
      </c>
      <c r="E92" s="10">
        <v>2.4762700000000004</v>
      </c>
      <c r="F92" s="10">
        <v>4.3400300000000005</v>
      </c>
      <c r="G92" s="16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2.75" customHeight="1" x14ac:dyDescent="0.25">
      <c r="A93" s="1">
        <v>1996</v>
      </c>
      <c r="B93" s="1">
        <v>9</v>
      </c>
      <c r="C93" s="15">
        <v>5.6284838743032362</v>
      </c>
      <c r="D93" s="10">
        <v>-2.2084299999999994</v>
      </c>
      <c r="E93" s="10">
        <v>4.31989</v>
      </c>
      <c r="F93" s="10">
        <v>-8.1493100000000016</v>
      </c>
      <c r="G93" s="16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2.75" customHeight="1" x14ac:dyDescent="0.25">
      <c r="A94" s="1">
        <v>1996</v>
      </c>
      <c r="B94" s="1">
        <v>10</v>
      </c>
      <c r="C94" s="15">
        <v>2.7580575906096527</v>
      </c>
      <c r="D94" s="10">
        <v>2.3615400000000002</v>
      </c>
      <c r="E94" s="10">
        <v>0.82697999999999994</v>
      </c>
      <c r="F94" s="10">
        <v>-6.9060199999999998</v>
      </c>
      <c r="G94" s="16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2.75" customHeight="1" x14ac:dyDescent="0.25">
      <c r="A95" s="1">
        <v>1996</v>
      </c>
      <c r="B95" s="1">
        <v>11</v>
      </c>
      <c r="C95" s="15">
        <v>7.5586732484627994</v>
      </c>
      <c r="D95" s="10">
        <v>1.04114</v>
      </c>
      <c r="E95" s="10">
        <v>4.3875000000000002</v>
      </c>
      <c r="F95" s="10">
        <v>12.188719999999998</v>
      </c>
      <c r="G95" s="16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2.75" customHeight="1" x14ac:dyDescent="0.25">
      <c r="A96" s="1">
        <v>1996</v>
      </c>
      <c r="B96" s="1">
        <v>12</v>
      </c>
      <c r="C96" s="15">
        <v>-1.9814127441665663</v>
      </c>
      <c r="D96" s="10">
        <v>-1.0036100000000001</v>
      </c>
      <c r="E96" s="10">
        <v>7.0687300000000004</v>
      </c>
      <c r="F96" s="10">
        <v>4.5104300000000004</v>
      </c>
      <c r="G96" s="16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2.75" customHeight="1" x14ac:dyDescent="0.25">
      <c r="A97" s="1">
        <v>1997</v>
      </c>
      <c r="B97" s="1">
        <v>1</v>
      </c>
      <c r="C97" s="15">
        <v>6.2474779160424543</v>
      </c>
      <c r="D97" s="10">
        <v>0.50789999999999991</v>
      </c>
      <c r="E97" s="10">
        <v>0.48779</v>
      </c>
      <c r="F97" s="10">
        <v>2.7454500000000004</v>
      </c>
      <c r="G97" s="16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2.75" customHeight="1" x14ac:dyDescent="0.25">
      <c r="A98" s="1">
        <v>1997</v>
      </c>
      <c r="B98" s="1">
        <v>2</v>
      </c>
      <c r="C98" s="15">
        <v>0.78377101129656346</v>
      </c>
      <c r="D98" s="10">
        <v>2.2565000000000004</v>
      </c>
      <c r="E98" s="10">
        <v>-4.8570199999999994</v>
      </c>
      <c r="F98" s="10">
        <v>11.223259999999998</v>
      </c>
      <c r="G98" s="16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2.75" customHeight="1" x14ac:dyDescent="0.25">
      <c r="A99" s="1">
        <v>1997</v>
      </c>
      <c r="B99" s="1">
        <v>3</v>
      </c>
      <c r="C99" s="15">
        <v>-4.1088324218896188</v>
      </c>
      <c r="D99" s="10">
        <v>-1.2976100000000002</v>
      </c>
      <c r="E99" s="10">
        <v>-3.1702699999999995</v>
      </c>
      <c r="F99" s="10">
        <v>-0.19528000000000001</v>
      </c>
      <c r="G99" s="16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2.75" customHeight="1" x14ac:dyDescent="0.25">
      <c r="A100" s="1">
        <v>1997</v>
      </c>
      <c r="B100" s="1">
        <v>4</v>
      </c>
      <c r="C100" s="15">
        <v>5.9698880602238935</v>
      </c>
      <c r="D100" s="10">
        <v>-1.91818</v>
      </c>
      <c r="E100" s="10">
        <v>-0.1</v>
      </c>
      <c r="F100" s="10">
        <v>4.6318900000000003</v>
      </c>
      <c r="G100" s="16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2.75" customHeight="1" x14ac:dyDescent="0.25">
      <c r="A101" s="1">
        <v>1997</v>
      </c>
      <c r="B101" s="1">
        <v>5</v>
      </c>
      <c r="C101" s="15">
        <v>6.0883211396422166</v>
      </c>
      <c r="D101" s="10">
        <v>1.6901199999999998</v>
      </c>
      <c r="E101" s="10">
        <v>7.0279400000000001</v>
      </c>
      <c r="F101" s="10">
        <v>2.7571400000000001</v>
      </c>
      <c r="G101" s="16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2.75" customHeight="1" x14ac:dyDescent="0.25">
      <c r="A102" s="1">
        <v>1997</v>
      </c>
      <c r="B102" s="1">
        <v>6</v>
      </c>
      <c r="C102" s="15">
        <v>4.4801769050336171</v>
      </c>
      <c r="D102" s="10">
        <v>3.1320000000000006</v>
      </c>
      <c r="E102" s="10">
        <v>0.61173999999999995</v>
      </c>
      <c r="F102" s="10">
        <v>3.9740700000000002</v>
      </c>
      <c r="G102" s="16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2.75" customHeight="1" x14ac:dyDescent="0.25">
      <c r="A103" s="1">
        <v>1997</v>
      </c>
      <c r="B103" s="1">
        <v>7</v>
      </c>
      <c r="C103" s="15">
        <v>7.9567609353423219</v>
      </c>
      <c r="D103" s="10">
        <v>6.6051400000000005</v>
      </c>
      <c r="E103" s="10">
        <v>10.500609999999998</v>
      </c>
      <c r="F103" s="10">
        <v>6.0428600000000001</v>
      </c>
      <c r="G103" s="16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2.75" customHeight="1" x14ac:dyDescent="0.25">
      <c r="A104" s="1">
        <v>1997</v>
      </c>
      <c r="B104" s="1">
        <v>8</v>
      </c>
      <c r="C104" s="15">
        <v>-5.6021671155203512</v>
      </c>
      <c r="D104" s="10">
        <v>-1.1324000000000001</v>
      </c>
      <c r="E104" s="10">
        <v>-6.99749</v>
      </c>
      <c r="F104" s="10">
        <v>11.568909999999999</v>
      </c>
      <c r="G104" s="16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2.75" customHeight="1" x14ac:dyDescent="0.25">
      <c r="A105" s="1">
        <v>1997</v>
      </c>
      <c r="B105" s="1">
        <v>9</v>
      </c>
      <c r="C105" s="15">
        <v>5.476659702073583</v>
      </c>
      <c r="D105" s="10">
        <v>4.0475900000000005</v>
      </c>
      <c r="E105" s="10">
        <v>-0.21376000000000001</v>
      </c>
      <c r="F105" s="10">
        <v>1.5210699999999999</v>
      </c>
      <c r="G105" s="16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2.75" customHeight="1" x14ac:dyDescent="0.25">
      <c r="A106" s="1">
        <v>1997</v>
      </c>
      <c r="B106" s="1">
        <v>10</v>
      </c>
      <c r="C106" s="15">
        <v>-3.3397145330569811</v>
      </c>
      <c r="D106" s="10">
        <v>3.7461500000000005</v>
      </c>
      <c r="E106" s="10">
        <v>-11.926300000000001</v>
      </c>
      <c r="F106" s="10">
        <v>2.1304200000000004</v>
      </c>
      <c r="G106" s="16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2.75" customHeight="1" x14ac:dyDescent="0.25">
      <c r="A107" s="1">
        <v>1997</v>
      </c>
      <c r="B107" s="1">
        <v>11</v>
      </c>
      <c r="C107" s="15">
        <v>4.6292313075171565</v>
      </c>
      <c r="D107" s="10">
        <v>6.06508</v>
      </c>
      <c r="E107" s="10">
        <v>10.868749999999999</v>
      </c>
      <c r="F107" s="10">
        <v>25.353809999999999</v>
      </c>
      <c r="G107" s="16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2.75" customHeight="1" x14ac:dyDescent="0.25">
      <c r="A108" s="1">
        <v>1997</v>
      </c>
      <c r="B108" s="1">
        <v>12</v>
      </c>
      <c r="C108" s="15">
        <v>1.71737312161091</v>
      </c>
      <c r="D108" s="10">
        <v>4.0603600000000002</v>
      </c>
      <c r="E108" s="10">
        <v>-7.9814099999999994</v>
      </c>
      <c r="F108" s="10">
        <v>-10.446430000000001</v>
      </c>
      <c r="G108" s="16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2.75" customHeight="1" x14ac:dyDescent="0.25">
      <c r="A109" s="1">
        <v>1998</v>
      </c>
      <c r="B109" s="1">
        <v>1</v>
      </c>
      <c r="C109" s="15">
        <v>1.1060800526015546</v>
      </c>
      <c r="D109" s="10">
        <v>-4.5784499999999992</v>
      </c>
      <c r="E109" s="10">
        <v>-2.7829899999999999</v>
      </c>
      <c r="F109" s="10">
        <v>0.38232000000000005</v>
      </c>
      <c r="G109" s="16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2.75" customHeight="1" x14ac:dyDescent="0.25">
      <c r="A110" s="1">
        <v>1998</v>
      </c>
      <c r="B110" s="1">
        <v>2</v>
      </c>
      <c r="C110" s="15">
        <v>7.2125295178828486</v>
      </c>
      <c r="D110" s="10">
        <v>-1.5458700000000001</v>
      </c>
      <c r="E110" s="10">
        <v>14.104719999999999</v>
      </c>
      <c r="F110" s="10">
        <v>14.738709999999999</v>
      </c>
      <c r="G110" s="16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2.75" customHeight="1" x14ac:dyDescent="0.25">
      <c r="A111" s="1">
        <v>1998</v>
      </c>
      <c r="B111" s="1">
        <v>3</v>
      </c>
      <c r="C111" s="15">
        <v>5.1208146027313051</v>
      </c>
      <c r="D111" s="10">
        <v>4.5875000000000004</v>
      </c>
      <c r="E111" s="10">
        <v>-4.0170500000000002</v>
      </c>
      <c r="F111" s="10">
        <v>5.7427000000000001</v>
      </c>
      <c r="G111" s="16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2.75" customHeight="1" x14ac:dyDescent="0.25">
      <c r="A112" s="1">
        <v>1998</v>
      </c>
      <c r="B112" s="1">
        <v>4</v>
      </c>
      <c r="C112" s="15">
        <v>1.0060831204387499</v>
      </c>
      <c r="D112" s="10">
        <v>-5.0751200000000001</v>
      </c>
      <c r="E112" s="10">
        <v>-4.0558800000000002</v>
      </c>
      <c r="F112" s="10">
        <v>5.7510600000000007</v>
      </c>
      <c r="G112" s="16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2.75" customHeight="1" x14ac:dyDescent="0.25">
      <c r="A113" s="1">
        <v>1998</v>
      </c>
      <c r="B113" s="1">
        <v>5</v>
      </c>
      <c r="C113" s="15">
        <v>-1.7187921227490799</v>
      </c>
      <c r="D113" s="10">
        <v>-3.8172799999999998</v>
      </c>
      <c r="E113" s="10">
        <v>-4.4405299999999999</v>
      </c>
      <c r="F113" s="10">
        <v>-11.155280000000001</v>
      </c>
      <c r="G113" s="16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2.75" customHeight="1" x14ac:dyDescent="0.25">
      <c r="A114" s="1">
        <v>1998</v>
      </c>
      <c r="B114" s="1">
        <v>6</v>
      </c>
      <c r="C114" s="15">
        <v>4.0618897585273039</v>
      </c>
      <c r="D114" s="10">
        <v>-0.1</v>
      </c>
      <c r="E114" s="10">
        <v>-6.7743499999999992</v>
      </c>
      <c r="F114" s="10">
        <v>20.044629999999998</v>
      </c>
      <c r="G114" s="16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2.75" customHeight="1" x14ac:dyDescent="0.25">
      <c r="A115" s="1">
        <v>1998</v>
      </c>
      <c r="B115" s="1">
        <v>7</v>
      </c>
      <c r="C115" s="15">
        <v>-1.0648387371064882</v>
      </c>
      <c r="D115" s="10">
        <v>-5.4707999999999997</v>
      </c>
      <c r="E115" s="10">
        <v>-13.003080000000001</v>
      </c>
      <c r="F115" s="10">
        <v>6.9669400000000001</v>
      </c>
      <c r="G115" s="16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2.75" customHeight="1" x14ac:dyDescent="0.25">
      <c r="A116" s="1">
        <v>1998</v>
      </c>
      <c r="B116" s="1">
        <v>8</v>
      </c>
      <c r="C116" s="15">
        <v>-14.457718218420057</v>
      </c>
      <c r="D116" s="10">
        <v>6.68187</v>
      </c>
      <c r="E116" s="10">
        <v>-20.028890000000001</v>
      </c>
      <c r="F116" s="10">
        <v>-4.0602900000000002</v>
      </c>
      <c r="G116" s="16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2.75" customHeight="1" x14ac:dyDescent="0.25">
      <c r="A117" s="1">
        <v>1998</v>
      </c>
      <c r="B117" s="1">
        <v>9</v>
      </c>
      <c r="C117" s="15">
        <v>6.4060393970495344</v>
      </c>
      <c r="D117" s="10">
        <v>7.7740300000000007</v>
      </c>
      <c r="E117" s="10">
        <v>10.808909999999999</v>
      </c>
      <c r="F117" s="10">
        <v>-1.86673</v>
      </c>
      <c r="G117" s="16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2.75" customHeight="1" x14ac:dyDescent="0.25">
      <c r="A118" s="1">
        <v>1998</v>
      </c>
      <c r="B118" s="1">
        <v>10</v>
      </c>
      <c r="C118" s="15">
        <v>8.1341989203888474</v>
      </c>
      <c r="D118" s="10">
        <v>0.15608</v>
      </c>
      <c r="E118" s="10">
        <v>9.3716299999999979</v>
      </c>
      <c r="F118" s="10">
        <v>-7.4570099999999995</v>
      </c>
      <c r="G118" s="16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2.75" customHeight="1" x14ac:dyDescent="0.25">
      <c r="A119" s="1">
        <v>1998</v>
      </c>
      <c r="B119" s="1">
        <v>11</v>
      </c>
      <c r="C119" s="15">
        <v>6.0607892486682191</v>
      </c>
      <c r="D119" s="10">
        <v>-4.1111999999999993</v>
      </c>
      <c r="E119" s="10">
        <v>8.4243499999999987</v>
      </c>
      <c r="F119" s="10">
        <v>-9.1791700000000009</v>
      </c>
      <c r="G119" s="16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2.75" customHeight="1" x14ac:dyDescent="0.25">
      <c r="A120" s="1">
        <v>1998</v>
      </c>
      <c r="B120" s="1">
        <v>12</v>
      </c>
      <c r="C120" s="15">
        <v>5.7625165055430028</v>
      </c>
      <c r="D120" s="10">
        <v>1.3835599999999999</v>
      </c>
      <c r="E120" s="10">
        <v>-19.792310000000001</v>
      </c>
      <c r="F120" s="10">
        <v>-8.4791900000000009</v>
      </c>
      <c r="G120" s="16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2.75" customHeight="1" x14ac:dyDescent="0.25">
      <c r="A121" s="1">
        <v>1999</v>
      </c>
      <c r="B121" s="1">
        <v>1</v>
      </c>
      <c r="C121" s="15">
        <v>4.1816017427482199</v>
      </c>
      <c r="D121" s="10">
        <v>-7.0056399999999996</v>
      </c>
      <c r="E121" s="10">
        <v>6.2233700000000001</v>
      </c>
      <c r="F121" s="10">
        <v>31.006149999999998</v>
      </c>
      <c r="G121" s="16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2.75" customHeight="1" x14ac:dyDescent="0.25">
      <c r="A122" s="1">
        <v>1999</v>
      </c>
      <c r="B122" s="1">
        <v>2</v>
      </c>
      <c r="C122" s="15">
        <v>-3.1078737745274032</v>
      </c>
      <c r="D122" s="10">
        <v>-3.7244999999999995</v>
      </c>
      <c r="E122" s="10">
        <v>3.0048200000000005</v>
      </c>
      <c r="F122" s="10">
        <v>2.9111100000000003</v>
      </c>
      <c r="G122" s="16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2.75" customHeight="1" x14ac:dyDescent="0.25">
      <c r="A123" s="1">
        <v>1999</v>
      </c>
      <c r="B123" s="1">
        <v>3</v>
      </c>
      <c r="C123" s="15">
        <v>4.0008494649616422</v>
      </c>
      <c r="D123" s="10">
        <v>-4.75345</v>
      </c>
      <c r="E123" s="10">
        <v>-4.6613999999999995</v>
      </c>
      <c r="F123" s="10">
        <v>14.799509999999998</v>
      </c>
      <c r="G123" s="16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2.75" customHeight="1" x14ac:dyDescent="0.25">
      <c r="A124" s="1">
        <v>1999</v>
      </c>
      <c r="B124" s="1">
        <v>4</v>
      </c>
      <c r="C124" s="15">
        <v>3.8725493551264867</v>
      </c>
      <c r="D124" s="10">
        <v>4.3093900000000005</v>
      </c>
      <c r="E124" s="10">
        <v>19.385289999999998</v>
      </c>
      <c r="F124" s="10">
        <v>13.903199999999998</v>
      </c>
      <c r="G124" s="16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2.75" customHeight="1" x14ac:dyDescent="0.25">
      <c r="A125" s="1">
        <v>1999</v>
      </c>
      <c r="B125" s="1">
        <v>5</v>
      </c>
      <c r="C125" s="15">
        <v>-2.3613672131111541</v>
      </c>
      <c r="D125" s="10">
        <v>6.0224000000000002</v>
      </c>
      <c r="E125" s="10">
        <v>3.7843100000000005</v>
      </c>
      <c r="F125" s="10">
        <v>13.302059999999999</v>
      </c>
      <c r="G125" s="16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2.75" customHeight="1" x14ac:dyDescent="0.25">
      <c r="A126" s="1">
        <v>1999</v>
      </c>
      <c r="B126" s="1">
        <v>6</v>
      </c>
      <c r="C126" s="15">
        <v>5.5497347454000145</v>
      </c>
      <c r="D126" s="10">
        <v>-13.499420000000001</v>
      </c>
      <c r="E126" s="10">
        <v>4.5050000000000008</v>
      </c>
      <c r="F126" s="10">
        <v>18.506059999999998</v>
      </c>
      <c r="G126" s="16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2.75" customHeight="1" x14ac:dyDescent="0.25">
      <c r="A127" s="1">
        <v>1999</v>
      </c>
      <c r="B127" s="1">
        <v>7</v>
      </c>
      <c r="C127" s="15">
        <v>-3.1224707384924</v>
      </c>
      <c r="D127" s="10">
        <v>-5.9248799999999999</v>
      </c>
      <c r="E127" s="10">
        <v>3.0250000000000004</v>
      </c>
      <c r="F127" s="10">
        <v>4.8882400000000006</v>
      </c>
      <c r="G127" s="16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2.75" customHeight="1" x14ac:dyDescent="0.25">
      <c r="A128" s="1">
        <v>1999</v>
      </c>
      <c r="B128" s="1">
        <v>8</v>
      </c>
      <c r="C128" s="15">
        <v>-0.49472522262635765</v>
      </c>
      <c r="D128" s="10">
        <v>4.2477</v>
      </c>
      <c r="E128" s="10">
        <v>7.1899999999999992E-2</v>
      </c>
      <c r="F128" s="10">
        <v>-8.0180699999999998</v>
      </c>
      <c r="G128" s="16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2.75" customHeight="1" x14ac:dyDescent="0.25">
      <c r="A129" s="1">
        <v>1999</v>
      </c>
      <c r="B129" s="1">
        <v>9</v>
      </c>
      <c r="C129" s="15">
        <v>-2.7413986179419925</v>
      </c>
      <c r="D129" s="10">
        <v>-6.1253899999999994</v>
      </c>
      <c r="E129" s="10">
        <v>-6.03207</v>
      </c>
      <c r="F129" s="10">
        <v>9.3984099999999984</v>
      </c>
      <c r="G129" s="16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2.75" customHeight="1" x14ac:dyDescent="0.25">
      <c r="A130" s="1">
        <v>1999</v>
      </c>
      <c r="B130" s="1">
        <v>10</v>
      </c>
      <c r="C130" s="15">
        <v>6.328068656942043</v>
      </c>
      <c r="D130" s="10">
        <v>0.9988999999999999</v>
      </c>
      <c r="E130" s="10">
        <v>7.9656899999999995</v>
      </c>
      <c r="F130" s="10">
        <v>21.785159999999998</v>
      </c>
      <c r="G130" s="16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2.75" customHeight="1" x14ac:dyDescent="0.25">
      <c r="A131" s="1">
        <v>1999</v>
      </c>
      <c r="B131" s="1">
        <v>11</v>
      </c>
      <c r="C131" s="15">
        <v>2.0328316773894572</v>
      </c>
      <c r="D131" s="10">
        <v>-7.4188399999999994</v>
      </c>
      <c r="E131" s="10">
        <v>-11.601640000000002</v>
      </c>
      <c r="F131" s="10">
        <v>21.526979999999998</v>
      </c>
      <c r="G131" s="16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2.75" customHeight="1" x14ac:dyDescent="0.25">
      <c r="A132" s="1">
        <v>1999</v>
      </c>
      <c r="B132" s="1">
        <v>12</v>
      </c>
      <c r="C132" s="15">
        <v>5.8896158661477127</v>
      </c>
      <c r="D132" s="10">
        <v>2.2904400000000003</v>
      </c>
      <c r="E132" s="10">
        <v>1.90123</v>
      </c>
      <c r="F132" s="10">
        <v>-35.835069999999995</v>
      </c>
      <c r="G132" s="16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2.75" customHeight="1" x14ac:dyDescent="0.25">
      <c r="A133" s="1">
        <v>2000</v>
      </c>
      <c r="B133" s="1">
        <v>1</v>
      </c>
      <c r="C133" s="15">
        <v>-5.0242381397852416</v>
      </c>
      <c r="D133" s="10">
        <v>4.1801600000000008</v>
      </c>
      <c r="E133" s="10">
        <v>7.2893500000000007</v>
      </c>
      <c r="F133" s="10">
        <v>-0.73633000000000004</v>
      </c>
      <c r="G133" s="16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2.75" customHeight="1" x14ac:dyDescent="0.25">
      <c r="A134" s="1">
        <v>2000</v>
      </c>
      <c r="B134" s="1">
        <v>2</v>
      </c>
      <c r="C134" s="15">
        <v>-1.8929692615169635</v>
      </c>
      <c r="D134" s="10">
        <v>-14.353730000000001</v>
      </c>
      <c r="E134" s="10">
        <v>-16.778650000000003</v>
      </c>
      <c r="F134" s="10">
        <v>-22.350640000000002</v>
      </c>
      <c r="G134" s="16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2.75" customHeight="1" x14ac:dyDescent="0.25">
      <c r="A135" s="1">
        <v>2000</v>
      </c>
      <c r="B135" s="1">
        <v>3</v>
      </c>
      <c r="C135" s="15">
        <v>9.7828562691034016</v>
      </c>
      <c r="D135" s="10">
        <v>5.9017800000000005</v>
      </c>
      <c r="E135" s="10">
        <v>2.2688300000000003</v>
      </c>
      <c r="F135" s="10">
        <v>33.597370000000005</v>
      </c>
      <c r="G135" s="16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2.75" customHeight="1" x14ac:dyDescent="0.25">
      <c r="A136" s="1">
        <v>2000</v>
      </c>
      <c r="B136" s="1">
        <v>4</v>
      </c>
      <c r="C136" s="15">
        <v>-3.0085711149123284</v>
      </c>
      <c r="D136" s="10">
        <v>22.749089999999999</v>
      </c>
      <c r="E136" s="10">
        <v>4.8586100000000005</v>
      </c>
      <c r="F136" s="10">
        <v>12.215269999999999</v>
      </c>
      <c r="G136" s="16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2.75" customHeight="1" x14ac:dyDescent="0.25">
      <c r="A137" s="1">
        <v>2000</v>
      </c>
      <c r="B137" s="1">
        <v>5</v>
      </c>
      <c r="C137" s="15">
        <v>-2.051707537437375</v>
      </c>
      <c r="D137" s="10">
        <v>-1.3614300000000001</v>
      </c>
      <c r="E137" s="10">
        <v>-1.32203</v>
      </c>
      <c r="F137" s="10">
        <v>-25.319300000000002</v>
      </c>
      <c r="G137" s="16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2.75" customHeight="1" x14ac:dyDescent="0.25">
      <c r="A138" s="1">
        <v>2000</v>
      </c>
      <c r="B138" s="1">
        <v>6</v>
      </c>
      <c r="C138" s="15">
        <v>2.4653316710793627</v>
      </c>
      <c r="D138" s="10">
        <v>-16.797130000000003</v>
      </c>
      <c r="E138" s="10">
        <v>6.9399100000000002</v>
      </c>
      <c r="F138" s="10">
        <v>11.172729999999998</v>
      </c>
      <c r="G138" s="16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2.75" customHeight="1" x14ac:dyDescent="0.25">
      <c r="A139" s="1">
        <v>2000</v>
      </c>
      <c r="B139" s="1">
        <v>7</v>
      </c>
      <c r="C139" s="15">
        <v>-1.5634206564886122</v>
      </c>
      <c r="D139" s="10">
        <v>10.661179999999998</v>
      </c>
      <c r="E139" s="10">
        <v>16.641209999999997</v>
      </c>
      <c r="F139" s="10">
        <v>18.897359999999999</v>
      </c>
      <c r="G139" s="16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2.75" customHeight="1" x14ac:dyDescent="0.25">
      <c r="A140" s="1">
        <v>2000</v>
      </c>
      <c r="B140" s="1">
        <v>8</v>
      </c>
      <c r="C140" s="15">
        <v>6.2114374917039195</v>
      </c>
      <c r="D140" s="10">
        <v>8.7745299999999986</v>
      </c>
      <c r="E140" s="10">
        <v>10.044839999999999</v>
      </c>
      <c r="F140" s="10">
        <v>4.6113100000000005</v>
      </c>
      <c r="G140" s="16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2.75" customHeight="1" x14ac:dyDescent="0.25">
      <c r="A141" s="1">
        <v>2000</v>
      </c>
      <c r="B141" s="1">
        <v>9</v>
      </c>
      <c r="C141" s="15">
        <v>-5.2793342811741972</v>
      </c>
      <c r="D141" s="10">
        <v>11.111389999999998</v>
      </c>
      <c r="E141" s="10">
        <v>17.61562</v>
      </c>
      <c r="F141" s="10">
        <v>9.4695499999999981</v>
      </c>
      <c r="G141" s="16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2.75" customHeight="1" x14ac:dyDescent="0.25">
      <c r="A142" s="1">
        <v>2000</v>
      </c>
      <c r="B142" s="1">
        <v>10</v>
      </c>
      <c r="C142" s="15">
        <v>-0.42275948010668252</v>
      </c>
      <c r="D142" s="10">
        <v>6.1386400000000005</v>
      </c>
      <c r="E142" s="10">
        <v>7.3265400000000005</v>
      </c>
      <c r="F142" s="10">
        <v>-7.8369399999999994</v>
      </c>
      <c r="G142" s="16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2.75" customHeight="1" x14ac:dyDescent="0.25">
      <c r="A143" s="1">
        <v>2000</v>
      </c>
      <c r="B143" s="1">
        <v>11</v>
      </c>
      <c r="C143" s="15">
        <v>-7.8839541439010947</v>
      </c>
      <c r="D143" s="10">
        <v>12.189159999999999</v>
      </c>
      <c r="E143" s="10">
        <v>1.9497499999999999</v>
      </c>
      <c r="F143" s="10">
        <v>-21.483650000000001</v>
      </c>
      <c r="G143" s="16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2.75" customHeight="1" x14ac:dyDescent="0.25">
      <c r="A144" s="1">
        <v>2000</v>
      </c>
      <c r="B144" s="1">
        <v>12</v>
      </c>
      <c r="C144" s="15">
        <v>0.48944003990338825</v>
      </c>
      <c r="D144" s="10">
        <v>0.98695999999999984</v>
      </c>
      <c r="E144" s="10">
        <v>-4.5350799999999998</v>
      </c>
      <c r="F144" s="10">
        <v>-8.6482700000000019</v>
      </c>
      <c r="G144" s="16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2.75" customHeight="1" x14ac:dyDescent="0.25">
      <c r="A145" s="1">
        <v>2001</v>
      </c>
      <c r="B145" s="1">
        <v>1</v>
      </c>
      <c r="C145" s="15">
        <v>3.5479069210527125</v>
      </c>
      <c r="D145" s="10">
        <v>-7.0892499999999998</v>
      </c>
      <c r="E145" s="10">
        <v>-11.463640000000002</v>
      </c>
      <c r="F145" s="10">
        <v>28.45908</v>
      </c>
      <c r="G145" s="16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2.75" customHeight="1" x14ac:dyDescent="0.25">
      <c r="A146" s="1">
        <v>2001</v>
      </c>
      <c r="B146" s="1">
        <v>2</v>
      </c>
      <c r="C146" s="15">
        <v>-9.11816911276585</v>
      </c>
      <c r="D146" s="10">
        <v>11.206359999999998</v>
      </c>
      <c r="E146" s="10">
        <v>6.51539</v>
      </c>
      <c r="F146" s="10">
        <v>-22.338370000000001</v>
      </c>
      <c r="G146" s="16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2.75" customHeight="1" x14ac:dyDescent="0.25">
      <c r="A147" s="1">
        <v>2001</v>
      </c>
      <c r="B147" s="1">
        <v>3</v>
      </c>
      <c r="C147" s="15">
        <v>-6.3350635455373556</v>
      </c>
      <c r="D147" s="10">
        <v>-1.2358900000000002</v>
      </c>
      <c r="E147" s="10">
        <v>-10.534080000000001</v>
      </c>
      <c r="F147" s="10">
        <v>-14.247200000000001</v>
      </c>
      <c r="G147" s="16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2.75" customHeight="1" x14ac:dyDescent="0.25">
      <c r="A148" s="1">
        <v>2001</v>
      </c>
      <c r="B148" s="1">
        <v>4</v>
      </c>
      <c r="C148" s="15">
        <v>7.7710481452415214</v>
      </c>
      <c r="D148" s="10">
        <v>4.8787200000000004</v>
      </c>
      <c r="E148" s="10">
        <v>10.831609999999998</v>
      </c>
      <c r="F148" s="10">
        <v>-16.616760000000003</v>
      </c>
      <c r="G148" s="16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2.75" customHeight="1" x14ac:dyDescent="0.25">
      <c r="A149" s="1">
        <v>2001</v>
      </c>
      <c r="B149" s="1">
        <v>5</v>
      </c>
      <c r="C149" s="15">
        <v>0.66999275807382297</v>
      </c>
      <c r="D149" s="10">
        <v>2.8590600000000004</v>
      </c>
      <c r="E149" s="10">
        <v>1.9388399999999999</v>
      </c>
      <c r="F149" s="10">
        <v>-11.200230000000001</v>
      </c>
      <c r="G149" s="16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2.75" customHeight="1" x14ac:dyDescent="0.25">
      <c r="A150" s="1">
        <v>2001</v>
      </c>
      <c r="B150" s="1">
        <v>6</v>
      </c>
      <c r="C150" s="15">
        <v>-2.4338592419494653</v>
      </c>
      <c r="D150" s="10">
        <v>-8.1278900000000007</v>
      </c>
      <c r="E150" s="10">
        <v>-11.691670000000002</v>
      </c>
      <c r="F150" s="10">
        <v>12.110799999999999</v>
      </c>
      <c r="G150" s="16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2.75" customHeight="1" x14ac:dyDescent="0.25">
      <c r="A151" s="1">
        <v>2001</v>
      </c>
      <c r="B151" s="1">
        <v>7</v>
      </c>
      <c r="C151" s="15">
        <v>-0.98441307083095841</v>
      </c>
      <c r="D151" s="10">
        <v>-2.6341099999999997</v>
      </c>
      <c r="E151" s="10">
        <v>5.1697800000000003</v>
      </c>
      <c r="F151" s="10">
        <v>-7.5426199999999994</v>
      </c>
      <c r="G151" s="16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2.75" customHeight="1" x14ac:dyDescent="0.25">
      <c r="A152" s="1">
        <v>2001</v>
      </c>
      <c r="B152" s="17">
        <v>8</v>
      </c>
      <c r="C152" s="15">
        <v>-6.2601599999999991</v>
      </c>
      <c r="D152" s="10">
        <v>2.9444500000000002</v>
      </c>
      <c r="E152" s="10">
        <v>-12.333040000000002</v>
      </c>
      <c r="F152" s="10">
        <v>-17.20946</v>
      </c>
      <c r="G152" s="7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spans="1:26" ht="12.75" customHeight="1" x14ac:dyDescent="0.25">
      <c r="A153" s="1">
        <v>2001</v>
      </c>
      <c r="B153" s="17">
        <v>9</v>
      </c>
      <c r="C153" s="15">
        <v>-8.0752400000000009</v>
      </c>
      <c r="D153" s="10">
        <v>-5.6494899999999992</v>
      </c>
      <c r="E153" s="10">
        <v>-34.670309999999994</v>
      </c>
      <c r="F153" s="10">
        <v>3.7675200000000002</v>
      </c>
      <c r="G153" s="7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25">
      <c r="A154" s="1">
        <v>2001</v>
      </c>
      <c r="B154" s="17">
        <v>10</v>
      </c>
      <c r="C154" s="15">
        <v>1.90689</v>
      </c>
      <c r="D154" s="10">
        <v>-3.1765699999999994</v>
      </c>
      <c r="E154" s="10">
        <v>-2.7865699999999998</v>
      </c>
      <c r="F154" s="10">
        <v>2.9515500000000006</v>
      </c>
      <c r="G154" s="7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25">
      <c r="A155" s="1">
        <v>2001</v>
      </c>
      <c r="B155" s="17">
        <v>11</v>
      </c>
      <c r="C155" s="15">
        <v>7.6706200000000004</v>
      </c>
      <c r="D155" s="10">
        <v>-0.21933000000000002</v>
      </c>
      <c r="E155" s="10">
        <v>8.0901799999999984</v>
      </c>
      <c r="F155" s="10">
        <v>15.786349999999999</v>
      </c>
      <c r="G155" s="7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25">
      <c r="A156" s="1">
        <v>2001</v>
      </c>
      <c r="B156" s="17">
        <v>12</v>
      </c>
      <c r="C156" s="15">
        <v>0.87603000000000009</v>
      </c>
      <c r="D156" s="10">
        <v>5.42727</v>
      </c>
      <c r="E156" s="10">
        <v>10.384329999999999</v>
      </c>
      <c r="F156" s="10">
        <v>3.8364600000000002</v>
      </c>
      <c r="G156" s="7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25">
      <c r="A157" s="1">
        <v>2002</v>
      </c>
      <c r="B157" s="17">
        <v>1</v>
      </c>
      <c r="C157" s="15">
        <v>-1.45932</v>
      </c>
      <c r="D157" s="10">
        <v>-4.21211</v>
      </c>
      <c r="E157" s="10">
        <v>5.4956700000000005</v>
      </c>
      <c r="F157" s="10">
        <v>4.61761</v>
      </c>
      <c r="G157" s="7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25">
      <c r="A158" s="1">
        <v>2002</v>
      </c>
      <c r="B158" s="17">
        <v>2</v>
      </c>
      <c r="C158" s="15">
        <v>-1.9285099999999999</v>
      </c>
      <c r="D158" s="10">
        <v>6.3925700000000001</v>
      </c>
      <c r="E158" s="10">
        <v>12.549569999999999</v>
      </c>
      <c r="F158" s="10">
        <v>-13.044160000000002</v>
      </c>
      <c r="G158" s="7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25">
      <c r="A159" s="1">
        <v>2002</v>
      </c>
      <c r="B159" s="17">
        <v>3</v>
      </c>
      <c r="C159" s="15">
        <v>3.7609299999999997</v>
      </c>
      <c r="D159" s="10">
        <v>5.0083200000000003</v>
      </c>
      <c r="E159" s="10">
        <v>4.8825900000000004</v>
      </c>
      <c r="F159" s="10">
        <v>9.3752199999999988</v>
      </c>
      <c r="G159" s="7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25">
      <c r="A160" s="1">
        <v>2002</v>
      </c>
      <c r="B160" s="17">
        <v>4</v>
      </c>
      <c r="C160" s="15">
        <v>-6.0628099999999998</v>
      </c>
      <c r="D160" s="10">
        <v>-0.72920000000000007</v>
      </c>
      <c r="E160" s="10">
        <v>-7.6647699999999999</v>
      </c>
      <c r="F160" s="10">
        <v>3.7615200000000004</v>
      </c>
      <c r="G160" s="7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25">
      <c r="A161" s="1">
        <v>2002</v>
      </c>
      <c r="B161" s="17">
        <v>5</v>
      </c>
      <c r="C161" s="15">
        <v>-0.73670999999999998</v>
      </c>
      <c r="D161" s="10">
        <v>-5.4930099999999999</v>
      </c>
      <c r="E161" s="10">
        <v>-4.0910299999999999</v>
      </c>
      <c r="F161" s="10">
        <v>9.6435899999999979</v>
      </c>
      <c r="G161" s="7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25">
      <c r="A162" s="1">
        <v>2002</v>
      </c>
      <c r="B162" s="17">
        <v>6</v>
      </c>
      <c r="C162" s="15">
        <v>-7.1229799999999992</v>
      </c>
      <c r="D162" s="10">
        <v>-6.4421499999999998</v>
      </c>
      <c r="E162" s="10">
        <v>5.4099700000000004</v>
      </c>
      <c r="F162" s="10">
        <v>-12.307940000000002</v>
      </c>
      <c r="G162" s="7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25">
      <c r="A163" s="1">
        <v>2002</v>
      </c>
      <c r="B163" s="17">
        <v>7</v>
      </c>
      <c r="C163" s="15">
        <v>-7.79542</v>
      </c>
      <c r="D163" s="10">
        <v>-17.866120000000002</v>
      </c>
      <c r="E163" s="10">
        <v>-7.8333299999999992</v>
      </c>
      <c r="F163" s="10">
        <v>-14.936990000000002</v>
      </c>
      <c r="G163" s="7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25">
      <c r="A164" s="1">
        <v>2002</v>
      </c>
      <c r="B164" s="17">
        <v>8</v>
      </c>
      <c r="C164" s="15">
        <v>0.65656000000000003</v>
      </c>
      <c r="D164" s="10">
        <v>5.33908</v>
      </c>
      <c r="E164" s="10">
        <v>-10.408280000000001</v>
      </c>
      <c r="F164" s="10">
        <v>-14.982810000000001</v>
      </c>
      <c r="G164" s="7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25">
      <c r="A165" s="1">
        <v>2002</v>
      </c>
      <c r="B165" s="17">
        <v>9</v>
      </c>
      <c r="C165" s="15">
        <v>-10.86795</v>
      </c>
      <c r="D165" s="10">
        <v>-16.49296</v>
      </c>
      <c r="E165" s="10">
        <v>-8.0309399999999993</v>
      </c>
      <c r="F165" s="10">
        <v>-8.0394199999999998</v>
      </c>
      <c r="G165" s="7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25">
      <c r="A166" s="1">
        <v>2002</v>
      </c>
      <c r="B166" s="17">
        <v>10</v>
      </c>
      <c r="C166" s="15">
        <v>8.8015799999999995</v>
      </c>
      <c r="D166" s="10">
        <v>-10.166640000000001</v>
      </c>
      <c r="E166" s="10">
        <v>-12.933280000000002</v>
      </c>
      <c r="F166" s="10">
        <v>4.08744</v>
      </c>
      <c r="G166" s="7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25">
      <c r="A167" s="1">
        <v>2002</v>
      </c>
      <c r="B167" s="17">
        <v>11</v>
      </c>
      <c r="C167" s="15">
        <v>5.8859000000000004</v>
      </c>
      <c r="D167" s="10">
        <v>13.082529999999998</v>
      </c>
      <c r="E167" s="10">
        <v>14.757139999999998</v>
      </c>
      <c r="F167" s="10">
        <v>14.588999999999999</v>
      </c>
      <c r="G167" s="7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25">
      <c r="A168" s="1">
        <v>2002</v>
      </c>
      <c r="B168" s="17">
        <v>12</v>
      </c>
      <c r="C168" s="15">
        <v>-5.8747499999999997</v>
      </c>
      <c r="D168" s="10">
        <v>-3.9353299999999996</v>
      </c>
      <c r="E168" s="10">
        <v>-3.0705899999999997</v>
      </c>
      <c r="F168" s="10">
        <v>-21.194740000000003</v>
      </c>
      <c r="G168" s="7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25">
      <c r="A169" s="1">
        <v>2003</v>
      </c>
      <c r="B169" s="17">
        <v>1</v>
      </c>
      <c r="C169" s="15">
        <v>-2.6196700000000002</v>
      </c>
      <c r="D169" s="10">
        <v>-13.674830000000002</v>
      </c>
      <c r="E169" s="10">
        <v>-4.3437099999999997</v>
      </c>
      <c r="F169" s="10">
        <v>6.3567800000000005</v>
      </c>
      <c r="G169" s="7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25">
      <c r="A170" s="1">
        <v>2003</v>
      </c>
      <c r="B170" s="17">
        <v>2</v>
      </c>
      <c r="C170" s="15">
        <v>-1.50038</v>
      </c>
      <c r="D170" s="10">
        <v>-5.3497899999999996</v>
      </c>
      <c r="E170" s="10">
        <v>-12.319060000000002</v>
      </c>
      <c r="F170" s="10">
        <v>-1.6538900000000001</v>
      </c>
      <c r="G170" s="7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25">
      <c r="A171" s="1">
        <v>2003</v>
      </c>
      <c r="B171" s="17">
        <v>3</v>
      </c>
      <c r="C171" s="15">
        <v>0.97094000000000003</v>
      </c>
      <c r="D171" s="10">
        <v>4.8127599999999999</v>
      </c>
      <c r="E171" s="10">
        <v>-9.1711200000000019</v>
      </c>
      <c r="F171" s="10">
        <v>13.392869999999998</v>
      </c>
      <c r="G171" s="7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25">
      <c r="A172" s="1">
        <v>2003</v>
      </c>
      <c r="B172" s="17">
        <v>4</v>
      </c>
      <c r="C172" s="15">
        <v>8.2370099999999997</v>
      </c>
      <c r="D172" s="10">
        <v>15.348579999999998</v>
      </c>
      <c r="E172" s="10">
        <v>8.7587399999999977</v>
      </c>
      <c r="F172" s="10">
        <v>6.2705700000000002</v>
      </c>
      <c r="G172" s="7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25">
      <c r="A173" s="1">
        <v>2003</v>
      </c>
      <c r="B173" s="17">
        <v>5</v>
      </c>
      <c r="C173" s="15">
        <v>5.26877</v>
      </c>
      <c r="D173" s="10">
        <v>11.310159999999998</v>
      </c>
      <c r="E173" s="10">
        <v>12.949849999999998</v>
      </c>
      <c r="F173" s="10">
        <v>1.5448799999999998</v>
      </c>
      <c r="G173" s="7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25">
      <c r="A174" s="1">
        <v>2003</v>
      </c>
      <c r="B174" s="17">
        <v>6</v>
      </c>
      <c r="C174" s="15">
        <v>1.27563</v>
      </c>
      <c r="D174" s="10">
        <v>2.6203900000000004</v>
      </c>
      <c r="E174" s="10">
        <v>11.800879999999999</v>
      </c>
      <c r="F174" s="10">
        <v>9.0701199999999993</v>
      </c>
      <c r="G174" s="7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25">
      <c r="A175" s="1">
        <v>2003</v>
      </c>
      <c r="B175" s="17">
        <v>7</v>
      </c>
      <c r="C175" s="15">
        <v>1.7631600000000001</v>
      </c>
      <c r="D175" s="10">
        <v>-6.03362</v>
      </c>
      <c r="E175" s="10">
        <v>-3.5964999999999998</v>
      </c>
      <c r="F175" s="10">
        <v>0.8882199999999999</v>
      </c>
      <c r="G175" s="7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25">
      <c r="A176" s="1">
        <v>2003</v>
      </c>
      <c r="B176" s="17">
        <v>8</v>
      </c>
      <c r="C176" s="15">
        <v>1.9501999999999999</v>
      </c>
      <c r="D176" s="10">
        <v>2.0382800000000003</v>
      </c>
      <c r="E176" s="10">
        <v>13.305799999999998</v>
      </c>
      <c r="F176" s="10">
        <v>14.314749999999998</v>
      </c>
      <c r="G176" s="7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25">
      <c r="A177" s="1">
        <v>2003</v>
      </c>
      <c r="B177" s="17">
        <v>9</v>
      </c>
      <c r="C177" s="15">
        <v>-1.0619499999999999</v>
      </c>
      <c r="D177" s="10">
        <v>5.8696200000000003</v>
      </c>
      <c r="E177" s="10">
        <v>-8.2840100000000021</v>
      </c>
      <c r="F177" s="10">
        <v>-6.6460499999999998</v>
      </c>
      <c r="G177" s="7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25">
      <c r="A178" s="1">
        <v>2003</v>
      </c>
      <c r="B178" s="17">
        <v>10</v>
      </c>
      <c r="C178" s="15">
        <v>5.6569799999999999</v>
      </c>
      <c r="D178" s="10">
        <v>-6.1333299999999999</v>
      </c>
      <c r="E178" s="10">
        <v>12.017679999999999</v>
      </c>
      <c r="F178" s="10">
        <v>5.4614200000000004</v>
      </c>
      <c r="G178" s="7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25">
      <c r="A179" s="1">
        <v>2003</v>
      </c>
      <c r="B179" s="17">
        <v>11</v>
      </c>
      <c r="C179" s="15">
        <v>0.87982000000000005</v>
      </c>
      <c r="D179" s="10">
        <v>-0.63210000000000011</v>
      </c>
      <c r="E179" s="10">
        <v>8.1869999999999984E-2</v>
      </c>
      <c r="F179" s="10">
        <v>3.7679600000000004</v>
      </c>
      <c r="G179" s="7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25">
      <c r="A180" s="1">
        <v>2003</v>
      </c>
      <c r="B180" s="17">
        <v>12</v>
      </c>
      <c r="C180" s="15">
        <v>5.2444699999999997</v>
      </c>
      <c r="D180" s="10">
        <v>10.084179999999998</v>
      </c>
      <c r="E180" s="10">
        <v>9.6681699999999982</v>
      </c>
      <c r="F180" s="10">
        <v>-0.80626000000000009</v>
      </c>
      <c r="G180" s="7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25">
      <c r="A181" s="1">
        <v>2004</v>
      </c>
      <c r="B181" s="17">
        <v>1</v>
      </c>
      <c r="C181" s="15">
        <v>1.8354999999999999</v>
      </c>
      <c r="D181" s="10">
        <v>6.9140900000000007</v>
      </c>
      <c r="E181" s="10">
        <v>-1.02549</v>
      </c>
      <c r="F181" s="10">
        <v>6.0929600000000006</v>
      </c>
      <c r="G181" s="7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25">
      <c r="A182" s="1">
        <v>2004</v>
      </c>
      <c r="B182" s="17">
        <v>2</v>
      </c>
      <c r="C182" s="15">
        <v>1.38995</v>
      </c>
      <c r="D182" s="10">
        <v>6.6381300000000003</v>
      </c>
      <c r="E182" s="10">
        <v>4.18743</v>
      </c>
      <c r="F182" s="10">
        <v>5.9773500000000004</v>
      </c>
      <c r="G182" s="7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25">
      <c r="A183" s="1">
        <v>2004</v>
      </c>
      <c r="B183" s="17">
        <v>3</v>
      </c>
      <c r="C183" s="15">
        <v>-1.50864</v>
      </c>
      <c r="D183" s="10">
        <v>-4.67971</v>
      </c>
      <c r="E183" s="10">
        <v>-5.4032099999999996</v>
      </c>
      <c r="F183" s="10">
        <v>-4.1509299999999998</v>
      </c>
      <c r="G183" s="7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25">
      <c r="A184" s="1">
        <v>2004</v>
      </c>
      <c r="B184" s="17">
        <v>4</v>
      </c>
      <c r="C184" s="15">
        <v>-1.5698000000000001</v>
      </c>
      <c r="D184" s="10">
        <v>-7.6334099999999996</v>
      </c>
      <c r="E184" s="10">
        <v>3.8444900000000004</v>
      </c>
      <c r="F184" s="10">
        <v>-7.3376399999999995</v>
      </c>
      <c r="G184" s="7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25">
      <c r="A185" s="1">
        <v>2004</v>
      </c>
      <c r="B185" s="17">
        <v>5</v>
      </c>
      <c r="C185" s="15">
        <v>1.3722399999999999</v>
      </c>
      <c r="D185" s="10">
        <v>5.4190500000000004</v>
      </c>
      <c r="E185" s="10">
        <v>7.6535700000000002</v>
      </c>
      <c r="F185" s="10">
        <v>-1.3028600000000001</v>
      </c>
      <c r="G185" s="7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25">
      <c r="A186" s="1">
        <v>2004</v>
      </c>
      <c r="B186" s="17">
        <v>6</v>
      </c>
      <c r="C186" s="15">
        <v>1.9444900000000001</v>
      </c>
      <c r="D186" s="10">
        <v>0.62394999999999989</v>
      </c>
      <c r="E186" s="10">
        <v>11.450219999999998</v>
      </c>
      <c r="F186" s="10">
        <v>-5.8913799999999998</v>
      </c>
      <c r="G186" s="7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25">
      <c r="A187" s="1">
        <v>2004</v>
      </c>
      <c r="B187" s="17">
        <v>7</v>
      </c>
      <c r="C187" s="15">
        <v>-3.3096600000000005</v>
      </c>
      <c r="D187" s="10">
        <v>-2.8812499999999996</v>
      </c>
      <c r="E187" s="10">
        <v>-0.76549000000000011</v>
      </c>
      <c r="F187" s="10">
        <v>-2.4751299999999996</v>
      </c>
      <c r="G187" s="7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25">
      <c r="A188" s="1">
        <v>2004</v>
      </c>
      <c r="B188" s="17">
        <v>8</v>
      </c>
      <c r="C188" s="15">
        <v>0.40449999999999997</v>
      </c>
      <c r="D188" s="10">
        <v>6.2323700000000004</v>
      </c>
      <c r="E188" s="10">
        <v>3.1906400000000001</v>
      </c>
      <c r="F188" s="10">
        <v>-3.7135999999999996</v>
      </c>
      <c r="G188" s="7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25">
      <c r="A189" s="1">
        <v>2004</v>
      </c>
      <c r="B189" s="17">
        <v>9</v>
      </c>
      <c r="C189" s="15">
        <v>1.0830599999999999</v>
      </c>
      <c r="D189" s="10">
        <v>-2.4525799999999998</v>
      </c>
      <c r="E189" s="10">
        <v>-1.24899</v>
      </c>
      <c r="F189" s="10">
        <v>6.2103200000000003</v>
      </c>
      <c r="G189" s="7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25">
      <c r="A190" s="1">
        <v>2004</v>
      </c>
      <c r="B190" s="17">
        <v>10</v>
      </c>
      <c r="C190" s="15">
        <v>1.52769</v>
      </c>
      <c r="D190" s="10">
        <v>2.9350400000000003</v>
      </c>
      <c r="E190" s="10">
        <v>-3.4320399999999998</v>
      </c>
      <c r="F190" s="10">
        <v>4.4041900000000007</v>
      </c>
      <c r="G190" s="7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25">
      <c r="A191" s="1">
        <v>2004</v>
      </c>
      <c r="B191" s="17">
        <v>11</v>
      </c>
      <c r="C191" s="15">
        <v>4.04617</v>
      </c>
      <c r="D191" s="10">
        <v>4.7284200000000007</v>
      </c>
      <c r="E191" s="10">
        <v>7.6555100000000005</v>
      </c>
      <c r="F191" s="10">
        <v>6.2147300000000003</v>
      </c>
      <c r="G191" s="7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25">
      <c r="A192" s="1">
        <v>2004</v>
      </c>
      <c r="B192" s="17">
        <v>12</v>
      </c>
      <c r="C192" s="15">
        <v>3.40286</v>
      </c>
      <c r="D192" s="10">
        <v>0.39751000000000003</v>
      </c>
      <c r="E192" s="10">
        <v>-3.4600899999999997</v>
      </c>
      <c r="F192" s="10">
        <v>4.0495100000000006</v>
      </c>
      <c r="G192" s="7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25">
      <c r="A193" s="1">
        <v>2005</v>
      </c>
      <c r="B193" s="17">
        <v>1</v>
      </c>
      <c r="C193" s="15">
        <v>-2.4374799999999999</v>
      </c>
      <c r="D193" s="10">
        <v>2.5499700000000005</v>
      </c>
      <c r="E193" s="10">
        <v>-2.3599999999999994</v>
      </c>
      <c r="F193" s="10">
        <v>0.62992999999999988</v>
      </c>
      <c r="G193" s="7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25">
      <c r="A194" s="1">
        <v>2005</v>
      </c>
      <c r="B194" s="17">
        <v>2</v>
      </c>
      <c r="C194" s="15">
        <v>2.1044100000000001</v>
      </c>
      <c r="D194" s="10">
        <v>-4.3553199999999999</v>
      </c>
      <c r="E194" s="10">
        <v>9.0304399999999987</v>
      </c>
      <c r="F194" s="10">
        <v>-10.848790000000001</v>
      </c>
      <c r="G194" s="7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25">
      <c r="A195" s="1">
        <v>2005</v>
      </c>
      <c r="B195" s="17">
        <v>3</v>
      </c>
      <c r="C195" s="15">
        <v>-1.77081</v>
      </c>
      <c r="D195" s="10">
        <v>1.87605</v>
      </c>
      <c r="E195" s="10">
        <v>6.24892</v>
      </c>
      <c r="F195" s="10">
        <v>-17.217730000000003</v>
      </c>
      <c r="G195" s="7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25">
      <c r="A196" s="1">
        <v>2005</v>
      </c>
      <c r="B196" s="17">
        <v>4</v>
      </c>
      <c r="C196" s="15">
        <v>-1.89656</v>
      </c>
      <c r="D196" s="10">
        <v>3.3057600000000003</v>
      </c>
      <c r="E196" s="10">
        <v>1.7132099999999999</v>
      </c>
      <c r="F196" s="10">
        <v>1.8183699999999998</v>
      </c>
      <c r="G196" s="7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25">
      <c r="A197" s="1">
        <v>2005</v>
      </c>
      <c r="B197" s="17">
        <v>5</v>
      </c>
      <c r="C197" s="15">
        <v>3.1818499999999998</v>
      </c>
      <c r="D197" s="10">
        <v>2.2282200000000003</v>
      </c>
      <c r="E197" s="10">
        <v>7.6789000000000005</v>
      </c>
      <c r="F197" s="10">
        <v>0.66090999999999989</v>
      </c>
      <c r="G197" s="7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25">
      <c r="A198" s="1">
        <v>2005</v>
      </c>
      <c r="B198" s="17">
        <v>6</v>
      </c>
      <c r="C198" s="15">
        <v>0.14196</v>
      </c>
      <c r="D198" s="10">
        <v>3.2062500000000003</v>
      </c>
      <c r="E198" s="10">
        <v>3.1863900000000003</v>
      </c>
      <c r="F198" s="10">
        <v>-8.0093800000000002</v>
      </c>
      <c r="G198" s="7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25">
      <c r="A199" s="1">
        <v>2005</v>
      </c>
      <c r="B199" s="17">
        <v>7</v>
      </c>
      <c r="C199" s="15">
        <v>3.7188400000000001</v>
      </c>
      <c r="D199" s="10">
        <v>4.8633900000000008</v>
      </c>
      <c r="E199" s="10">
        <v>-8.4850000000000009E-2</v>
      </c>
      <c r="F199" s="10">
        <v>1.19478</v>
      </c>
      <c r="G199" s="7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25">
      <c r="A200" s="1">
        <v>2005</v>
      </c>
      <c r="B200" s="17">
        <v>8</v>
      </c>
      <c r="C200" s="15">
        <v>-0.91239999999999999</v>
      </c>
      <c r="D200" s="10">
        <v>-3.1232599999999997</v>
      </c>
      <c r="E200" s="10">
        <v>1.8088</v>
      </c>
      <c r="F200" s="10">
        <v>6.6746100000000004</v>
      </c>
      <c r="G200" s="7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25">
      <c r="A201" s="1">
        <v>2005</v>
      </c>
      <c r="B201" s="17">
        <v>9</v>
      </c>
      <c r="C201" s="15">
        <v>0.80991999999999986</v>
      </c>
      <c r="D201" s="10">
        <v>6.6778400000000007</v>
      </c>
      <c r="E201" s="10">
        <v>1.28765</v>
      </c>
      <c r="F201" s="10">
        <v>-1.13751</v>
      </c>
      <c r="G201" s="7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25">
      <c r="A202" s="1">
        <v>2005</v>
      </c>
      <c r="B202" s="17">
        <v>10</v>
      </c>
      <c r="C202" s="15">
        <v>-1.66706</v>
      </c>
      <c r="D202" s="10">
        <v>-4.4828699999999992</v>
      </c>
      <c r="E202" s="10">
        <v>-4.9712299999999994</v>
      </c>
      <c r="F202" s="10">
        <v>-10.987100000000002</v>
      </c>
      <c r="G202" s="7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25">
      <c r="A203" s="1">
        <v>2005</v>
      </c>
      <c r="B203" s="17">
        <v>11</v>
      </c>
      <c r="C203" s="15">
        <v>3.7822</v>
      </c>
      <c r="D203" s="10">
        <v>-2.8660699999999997</v>
      </c>
      <c r="E203" s="10">
        <v>5.7787100000000002</v>
      </c>
      <c r="F203" s="10">
        <v>4.2438900000000004</v>
      </c>
      <c r="G203" s="7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25">
      <c r="A204" s="1">
        <v>2005</v>
      </c>
      <c r="B204" s="17">
        <v>12</v>
      </c>
      <c r="C204" s="15">
        <v>3.4799999999999998E-2</v>
      </c>
      <c r="D204" s="10">
        <v>1.4052</v>
      </c>
      <c r="E204" s="10">
        <v>2.9063100000000004</v>
      </c>
      <c r="F204" s="10">
        <v>-7.9036</v>
      </c>
      <c r="G204" s="7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25">
      <c r="A205" s="1">
        <v>2006</v>
      </c>
      <c r="B205" s="17">
        <v>1</v>
      </c>
      <c r="C205" s="15">
        <v>2.6477900000000001</v>
      </c>
      <c r="D205" s="10">
        <v>0.52010999999999996</v>
      </c>
      <c r="E205" s="10">
        <v>-2.8477199999999998</v>
      </c>
      <c r="F205" s="10">
        <v>5.4634800000000006</v>
      </c>
      <c r="G205" s="7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25">
      <c r="A206" s="1">
        <v>2006</v>
      </c>
      <c r="B206" s="17">
        <v>2</v>
      </c>
      <c r="C206" s="15">
        <v>0.27133000000000002</v>
      </c>
      <c r="D206" s="10">
        <v>-1.30579</v>
      </c>
      <c r="E206" s="10">
        <v>6.7511200000000002</v>
      </c>
      <c r="F206" s="10">
        <v>-12.036940000000001</v>
      </c>
      <c r="G206" s="7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25">
      <c r="A207" s="1">
        <v>2006</v>
      </c>
      <c r="B207" s="17">
        <v>3</v>
      </c>
      <c r="C207" s="15">
        <v>1.2447600000000001</v>
      </c>
      <c r="D207" s="10">
        <v>-6.89452</v>
      </c>
      <c r="E207" s="10">
        <v>7.1086900000000002</v>
      </c>
      <c r="F207" s="10">
        <v>-1.7368300000000001</v>
      </c>
      <c r="G207" s="7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25">
      <c r="A208" s="1">
        <v>2006</v>
      </c>
      <c r="B208" s="17">
        <v>4</v>
      </c>
      <c r="C208" s="15">
        <v>1.3427800000000001</v>
      </c>
      <c r="D208" s="10">
        <v>-1.7460900000000001</v>
      </c>
      <c r="E208" s="10">
        <v>6.9832800000000006</v>
      </c>
      <c r="F208" s="10">
        <v>-11.696460000000002</v>
      </c>
      <c r="G208" s="7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25">
      <c r="A209" s="1">
        <v>2006</v>
      </c>
      <c r="B209" s="17">
        <v>5</v>
      </c>
      <c r="C209" s="15">
        <v>-2.8781500000000002</v>
      </c>
      <c r="D209" s="10">
        <v>3.4266000000000005</v>
      </c>
      <c r="E209" s="10">
        <v>1.983E-2</v>
      </c>
      <c r="F209" s="10">
        <v>-1.1588200000000002</v>
      </c>
      <c r="G209" s="7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25">
      <c r="A210" s="1">
        <v>2006</v>
      </c>
      <c r="B210" s="17">
        <v>6</v>
      </c>
      <c r="C210" s="15">
        <v>0.13557</v>
      </c>
      <c r="D210" s="10">
        <v>-0.15836</v>
      </c>
      <c r="E210" s="10">
        <v>-1.7096100000000001</v>
      </c>
      <c r="F210" s="10">
        <v>-16.865750000000002</v>
      </c>
      <c r="G210" s="7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25">
      <c r="A211" s="1">
        <v>2006</v>
      </c>
      <c r="B211" s="17">
        <v>7</v>
      </c>
      <c r="C211" s="15">
        <v>0.61685000000000001</v>
      </c>
      <c r="D211" s="10">
        <v>5.3598500000000007</v>
      </c>
      <c r="E211" s="10">
        <v>-5.5816299999999996</v>
      </c>
      <c r="F211" s="10">
        <v>15.399999999999999</v>
      </c>
      <c r="G211" s="7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25">
      <c r="A212" s="1">
        <v>2006</v>
      </c>
      <c r="B212" s="17">
        <v>8</v>
      </c>
      <c r="C212" s="15">
        <v>2.3793099999999998</v>
      </c>
      <c r="D212" s="10">
        <v>1.9210400000000001</v>
      </c>
      <c r="E212" s="10">
        <v>-2.9674799999999997</v>
      </c>
      <c r="F212" s="10">
        <v>11.588309999999998</v>
      </c>
      <c r="G212" s="7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25">
      <c r="A213" s="1">
        <v>2006</v>
      </c>
      <c r="B213" s="17">
        <v>9</v>
      </c>
      <c r="C213" s="15">
        <v>2.5769899999999999</v>
      </c>
      <c r="D213" s="10">
        <v>-0.40153999999999995</v>
      </c>
      <c r="E213" s="10">
        <v>5.1737000000000002</v>
      </c>
      <c r="F213" s="10">
        <v>6.766</v>
      </c>
      <c r="G213" s="7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25">
      <c r="A214" s="1">
        <v>2006</v>
      </c>
      <c r="B214" s="17">
        <v>10</v>
      </c>
      <c r="C214" s="15">
        <v>3.2586200000000001</v>
      </c>
      <c r="D214" s="10">
        <v>13.812569999999999</v>
      </c>
      <c r="E214" s="10">
        <v>1.1809099999999999</v>
      </c>
      <c r="F214" s="10">
        <v>-7.6647699999999999</v>
      </c>
      <c r="G214" s="7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25">
      <c r="A215" s="1">
        <v>2006</v>
      </c>
      <c r="B215" s="17">
        <v>11</v>
      </c>
      <c r="C215" s="15">
        <v>1.9015999999999997</v>
      </c>
      <c r="D215" s="10">
        <v>1.0344399999999998</v>
      </c>
      <c r="E215" s="10">
        <v>11.132159999999999</v>
      </c>
      <c r="F215" s="10">
        <v>-0.43631999999999999</v>
      </c>
      <c r="G215" s="7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25">
      <c r="A216" s="1">
        <v>2006</v>
      </c>
      <c r="B216" s="17">
        <v>12</v>
      </c>
      <c r="C216" s="15">
        <v>1.4027700000000001</v>
      </c>
      <c r="D216" s="10">
        <v>2.4776900000000004</v>
      </c>
      <c r="E216" s="10">
        <v>0.25016000000000005</v>
      </c>
      <c r="F216" s="10">
        <v>-4.3783799999999999</v>
      </c>
      <c r="G216" s="7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25">
      <c r="A217" s="1">
        <v>2007</v>
      </c>
      <c r="B217" s="17">
        <v>1</v>
      </c>
      <c r="C217" s="15">
        <v>1.5123200000000001</v>
      </c>
      <c r="D217" s="10">
        <v>2.1310900000000004</v>
      </c>
      <c r="E217" s="10">
        <v>0.71044999999999991</v>
      </c>
      <c r="F217" s="10">
        <v>31.604409999999998</v>
      </c>
      <c r="G217" s="7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25">
      <c r="A218" s="1">
        <v>2007</v>
      </c>
      <c r="B218" s="17">
        <v>2</v>
      </c>
      <c r="C218" s="15">
        <v>-1.9558800000000001</v>
      </c>
      <c r="D218" s="10">
        <v>3.9431900000000004</v>
      </c>
      <c r="E218" s="10">
        <v>-2.2773099999999995</v>
      </c>
      <c r="F218" s="10">
        <v>12.886429999999999</v>
      </c>
      <c r="G218" s="7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25">
      <c r="A219" s="1">
        <v>2007</v>
      </c>
      <c r="B219" s="17">
        <v>3</v>
      </c>
      <c r="C219" s="15">
        <v>1.11849</v>
      </c>
      <c r="D219" s="10">
        <v>8.4746099999999984</v>
      </c>
      <c r="E219" s="10">
        <v>1.7908999999999999</v>
      </c>
      <c r="F219" s="10">
        <v>8.1498999999999988</v>
      </c>
      <c r="G219" s="7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25">
      <c r="A220" s="1">
        <v>2007</v>
      </c>
      <c r="B220" s="17">
        <v>4</v>
      </c>
      <c r="C220" s="15">
        <v>4.4295400000000003</v>
      </c>
      <c r="D220" s="10">
        <v>2.9153900000000004</v>
      </c>
      <c r="E220" s="10">
        <v>4.5001600000000002</v>
      </c>
      <c r="F220" s="10">
        <v>7.4471700000000007</v>
      </c>
      <c r="G220" s="7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25">
      <c r="A221" s="1">
        <v>2007</v>
      </c>
      <c r="B221" s="17">
        <v>5</v>
      </c>
      <c r="C221" s="15">
        <v>3.4895</v>
      </c>
      <c r="D221" s="10">
        <v>-4.4807299999999994</v>
      </c>
      <c r="E221" s="10">
        <v>8.4376399999999983</v>
      </c>
      <c r="F221" s="10">
        <v>17.34066</v>
      </c>
      <c r="G221" s="7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25">
      <c r="A222" s="1">
        <v>2007</v>
      </c>
      <c r="B222" s="17">
        <v>6</v>
      </c>
      <c r="C222" s="15">
        <v>-1.6613199999999999</v>
      </c>
      <c r="D222" s="10">
        <v>-5.53775</v>
      </c>
      <c r="E222" s="10">
        <v>-4.5040199999999997</v>
      </c>
      <c r="F222" s="10">
        <v>-3.0291199999999998</v>
      </c>
      <c r="G222" s="7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25">
      <c r="A223" s="1">
        <v>2007</v>
      </c>
      <c r="B223" s="17">
        <v>7</v>
      </c>
      <c r="C223" s="15">
        <v>-3.1004999999999998</v>
      </c>
      <c r="D223" s="10">
        <v>-3.5413899999999998</v>
      </c>
      <c r="E223" s="10">
        <v>7.4603200000000003</v>
      </c>
      <c r="F223" s="10">
        <v>-24.270190000000003</v>
      </c>
      <c r="G223" s="7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25">
      <c r="A224" s="1">
        <v>2007</v>
      </c>
      <c r="B224" s="17">
        <v>8</v>
      </c>
      <c r="C224" s="15">
        <v>1.49901</v>
      </c>
      <c r="D224" s="10">
        <v>3.0731400000000004</v>
      </c>
      <c r="E224" s="10">
        <v>-6.2684199999999999</v>
      </c>
      <c r="F224" s="10">
        <v>-5.5118599999999995</v>
      </c>
      <c r="G224" s="7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25">
      <c r="A225" s="1">
        <v>2007</v>
      </c>
      <c r="B225" s="17">
        <v>9</v>
      </c>
      <c r="C225" s="15">
        <v>3.7398799999999994</v>
      </c>
      <c r="D225" s="10">
        <v>3.4971200000000002</v>
      </c>
      <c r="E225" s="10">
        <v>8.4729099999999988</v>
      </c>
      <c r="F225" s="10">
        <v>-13.183720000000001</v>
      </c>
      <c r="G225" s="7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25">
      <c r="A226" s="1">
        <v>2007</v>
      </c>
      <c r="B226" s="17">
        <v>10</v>
      </c>
      <c r="C226" s="15">
        <v>1.5907</v>
      </c>
      <c r="D226" s="10">
        <v>4.5224000000000002</v>
      </c>
      <c r="E226" s="10">
        <v>-6.1958199999999994</v>
      </c>
      <c r="F226" s="10">
        <v>-0.29360999999999998</v>
      </c>
      <c r="G226" s="7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25">
      <c r="A227" s="1">
        <v>2007</v>
      </c>
      <c r="B227" s="17">
        <v>11</v>
      </c>
      <c r="C227" s="15">
        <v>-4.1806599999999996</v>
      </c>
      <c r="D227" s="10">
        <v>-0.36964999999999998</v>
      </c>
      <c r="E227" s="10">
        <v>-5.8815200000000001</v>
      </c>
      <c r="F227" s="10">
        <v>-9.1688700000000019</v>
      </c>
      <c r="G227" s="7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25">
      <c r="A228" s="1">
        <v>2007</v>
      </c>
      <c r="B228" s="17">
        <v>12</v>
      </c>
      <c r="C228" s="15">
        <v>-0.69377</v>
      </c>
      <c r="D228" s="10">
        <v>-2.4285099999999997</v>
      </c>
      <c r="E228" s="10">
        <v>-5.5895199999999994</v>
      </c>
      <c r="F228" s="10">
        <v>-8.9648700000000012</v>
      </c>
      <c r="G228" s="7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25">
      <c r="A229" s="1">
        <v>2008</v>
      </c>
      <c r="B229" s="17">
        <v>1</v>
      </c>
      <c r="C229" s="15">
        <v>-5.9981600000000004</v>
      </c>
      <c r="D229" s="10">
        <v>-8.3259500000000006</v>
      </c>
      <c r="E229" s="10">
        <v>-4.9936699999999998</v>
      </c>
      <c r="F229" s="10">
        <v>2.8062900000000002</v>
      </c>
      <c r="G229" s="7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25">
      <c r="A230" s="1">
        <v>2008</v>
      </c>
      <c r="B230" s="17">
        <v>2</v>
      </c>
      <c r="C230" s="15">
        <v>-3.24858</v>
      </c>
      <c r="D230" s="10">
        <v>-3.3763899999999998</v>
      </c>
      <c r="E230" s="10">
        <v>-8.7980000000000003E-2</v>
      </c>
      <c r="F230" s="10">
        <v>0.47637000000000002</v>
      </c>
      <c r="G230" s="7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25">
      <c r="A231" s="1">
        <v>2008</v>
      </c>
      <c r="B231" s="17">
        <v>3</v>
      </c>
      <c r="C231" s="15">
        <v>-0.43179000000000006</v>
      </c>
      <c r="D231" s="10">
        <v>1.6350899999999999</v>
      </c>
      <c r="E231" s="10">
        <v>-10.270310000000002</v>
      </c>
      <c r="F231" s="10">
        <v>-6.9767899999999994</v>
      </c>
      <c r="G231" s="7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25">
      <c r="A232" s="1">
        <v>2008</v>
      </c>
      <c r="B232" s="17">
        <v>4</v>
      </c>
      <c r="C232" s="15">
        <v>4.8703099999999999</v>
      </c>
      <c r="D232" s="10">
        <v>7.1063400000000003</v>
      </c>
      <c r="E232" s="10">
        <v>14.005149999999999</v>
      </c>
      <c r="F232" s="10">
        <v>-14.561540000000001</v>
      </c>
      <c r="G232" s="7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25">
      <c r="A233" s="1">
        <v>2008</v>
      </c>
      <c r="B233" s="17">
        <v>5</v>
      </c>
      <c r="C233" s="15">
        <v>1.2952600000000001</v>
      </c>
      <c r="D233" s="10">
        <v>-4.3348199999999997</v>
      </c>
      <c r="E233" s="10">
        <v>-2.0915199999999996</v>
      </c>
      <c r="F233" s="10">
        <v>5.2956799999999999</v>
      </c>
      <c r="G233" s="7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25">
      <c r="A234" s="1">
        <v>2008</v>
      </c>
      <c r="B234" s="17">
        <v>6</v>
      </c>
      <c r="C234" s="15">
        <v>-8.4303600000000003</v>
      </c>
      <c r="D234" s="10">
        <v>-5.0610200000000001</v>
      </c>
      <c r="E234" s="10">
        <v>-20.699250000000003</v>
      </c>
      <c r="F234" s="10">
        <v>-16.34573</v>
      </c>
      <c r="G234" s="7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25">
      <c r="A235" s="1">
        <v>2008</v>
      </c>
      <c r="B235" s="17">
        <v>7</v>
      </c>
      <c r="C235" s="15">
        <v>-0.84062000000000003</v>
      </c>
      <c r="D235" s="10">
        <v>-1.9145700000000001</v>
      </c>
      <c r="E235" s="10">
        <v>-7.1146099999999999</v>
      </c>
      <c r="F235" s="10">
        <v>35.841320000000003</v>
      </c>
      <c r="G235" s="7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25">
      <c r="A236" s="1">
        <v>2008</v>
      </c>
      <c r="B236" s="17">
        <v>8</v>
      </c>
      <c r="C236" s="15">
        <v>1.4464699999999999</v>
      </c>
      <c r="D236" s="10">
        <v>-0.22658</v>
      </c>
      <c r="E236" s="10">
        <v>7.8365100000000005</v>
      </c>
      <c r="F236" s="10">
        <v>13.868829999999999</v>
      </c>
      <c r="G236" s="7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25">
      <c r="A237" s="1">
        <v>2008</v>
      </c>
      <c r="B237" s="17">
        <v>9</v>
      </c>
      <c r="C237" s="15">
        <v>-8.9107299999999992</v>
      </c>
      <c r="D237" s="10">
        <v>-5.24857</v>
      </c>
      <c r="E237" s="10">
        <v>-12.622880000000002</v>
      </c>
      <c r="F237" s="10">
        <v>-9.200470000000001</v>
      </c>
      <c r="G237" s="7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25">
      <c r="A238" s="1">
        <v>2008</v>
      </c>
      <c r="B238" s="17">
        <v>10</v>
      </c>
      <c r="C238" s="15">
        <v>-16.794789999999999</v>
      </c>
      <c r="D238" s="10">
        <v>-11.982260000000002</v>
      </c>
      <c r="E238" s="10">
        <v>-8.6963400000000011</v>
      </c>
      <c r="F238" s="10">
        <v>-26.836110000000001</v>
      </c>
      <c r="G238" s="7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25">
      <c r="A239" s="1">
        <v>2008</v>
      </c>
      <c r="B239" s="17">
        <v>11</v>
      </c>
      <c r="C239" s="15">
        <v>-7.1754600000000002</v>
      </c>
      <c r="D239" s="10">
        <v>-2.9501399999999998</v>
      </c>
      <c r="E239" s="10">
        <v>-18.013010000000001</v>
      </c>
      <c r="F239" s="10">
        <v>-20.321170000000002</v>
      </c>
      <c r="G239" s="7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25">
      <c r="A240" s="1">
        <v>2008</v>
      </c>
      <c r="B240" s="17">
        <v>12</v>
      </c>
      <c r="C240" s="15">
        <v>1.06403</v>
      </c>
      <c r="D240" s="10">
        <v>6.2598600000000006</v>
      </c>
      <c r="E240" s="10">
        <v>-6.1700000000000088E-3</v>
      </c>
      <c r="F240" s="10">
        <v>21.118269999999999</v>
      </c>
      <c r="G240" s="7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25">
      <c r="A241" s="1">
        <v>2009</v>
      </c>
      <c r="B241" s="17">
        <v>1</v>
      </c>
      <c r="C241" s="15">
        <v>-8.4286399999999997</v>
      </c>
      <c r="D241" s="10">
        <v>-5.8992800000000001</v>
      </c>
      <c r="E241" s="10">
        <v>-0.94368000000000007</v>
      </c>
      <c r="F241" s="10">
        <v>-4.1200999999999999</v>
      </c>
      <c r="G241" s="7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25">
      <c r="A242" s="1">
        <v>2009</v>
      </c>
      <c r="B242" s="17">
        <v>2</v>
      </c>
      <c r="C242" s="15">
        <v>-10.647779999999999</v>
      </c>
      <c r="D242" s="10">
        <v>-9.318500000000002</v>
      </c>
      <c r="E242" s="10">
        <v>-24.798650000000002</v>
      </c>
      <c r="F242" s="10">
        <v>-36.138389999999994</v>
      </c>
      <c r="G242" s="7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25">
      <c r="A243" s="1">
        <v>2009</v>
      </c>
      <c r="B243" s="17">
        <v>3</v>
      </c>
      <c r="C243" s="15">
        <v>8.7595200000000002</v>
      </c>
      <c r="D243" s="10">
        <v>-10.046520000000001</v>
      </c>
      <c r="E243" s="10">
        <v>13.067939999999998</v>
      </c>
      <c r="F243" s="10">
        <v>16.816779999999998</v>
      </c>
      <c r="G243" s="7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25">
      <c r="A244" s="1">
        <v>2009</v>
      </c>
      <c r="B244" s="17">
        <v>4</v>
      </c>
      <c r="C244" s="15">
        <v>9.5709400000000002</v>
      </c>
      <c r="D244" s="10">
        <v>4.3338900000000002</v>
      </c>
      <c r="E244" s="10">
        <v>12.463239999999999</v>
      </c>
      <c r="F244" s="10">
        <v>64.194050000000004</v>
      </c>
      <c r="G244" s="7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25">
      <c r="A245" s="1">
        <v>2009</v>
      </c>
      <c r="B245" s="17">
        <v>5</v>
      </c>
      <c r="C245" s="15">
        <v>5.5932899999999997</v>
      </c>
      <c r="D245" s="10">
        <v>1.3025799999999998</v>
      </c>
      <c r="E245" s="10">
        <v>12.933709999999998</v>
      </c>
      <c r="F245" s="10">
        <v>-4.6454599999999999</v>
      </c>
      <c r="G245" s="7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25">
      <c r="A246" s="1">
        <v>2009</v>
      </c>
      <c r="B246" s="17">
        <v>6</v>
      </c>
      <c r="C246" s="15">
        <v>0.19836000000000004</v>
      </c>
      <c r="D246" s="10">
        <v>9.5810899999999979</v>
      </c>
      <c r="E246" s="10">
        <v>-5.33969</v>
      </c>
      <c r="F246" s="10">
        <v>3.7690500000000005</v>
      </c>
      <c r="G246" s="7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25">
      <c r="A247" s="1">
        <v>2009</v>
      </c>
      <c r="B247" s="17">
        <v>7</v>
      </c>
      <c r="C247" s="15">
        <v>7.5637299999999987</v>
      </c>
      <c r="D247" s="10">
        <v>7.0651100000000007</v>
      </c>
      <c r="E247" s="10">
        <v>0.86470999999999987</v>
      </c>
      <c r="F247" s="10">
        <v>11.003149999999998</v>
      </c>
      <c r="G247" s="7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25">
      <c r="A248" s="1">
        <v>2009</v>
      </c>
      <c r="B248" s="17">
        <v>8</v>
      </c>
      <c r="C248" s="15">
        <v>3.61</v>
      </c>
      <c r="D248" s="10">
        <v>2.7423800000000003</v>
      </c>
      <c r="E248" s="10">
        <v>16.6327</v>
      </c>
      <c r="F248" s="10">
        <v>-2.5500299999999996</v>
      </c>
      <c r="G248" s="7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25">
      <c r="A249" s="1">
        <v>2009</v>
      </c>
      <c r="B249" s="17">
        <v>9</v>
      </c>
      <c r="C249" s="15">
        <v>3.73</v>
      </c>
      <c r="D249" s="10">
        <v>-1.4999400000000001</v>
      </c>
      <c r="E249" s="10">
        <v>8.9195299999999982</v>
      </c>
      <c r="F249" s="10">
        <v>9.4175199999999979</v>
      </c>
      <c r="G249" s="7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25">
      <c r="A250" s="1">
        <v>2009</v>
      </c>
      <c r="B250" s="17">
        <v>10</v>
      </c>
      <c r="C250" s="15">
        <v>-1.8599999999999999</v>
      </c>
      <c r="D250" s="10">
        <v>-2.5846699999999996</v>
      </c>
      <c r="E250" s="10">
        <v>-11.826690000000001</v>
      </c>
      <c r="F250" s="10">
        <v>1.8311999999999999</v>
      </c>
      <c r="G250" s="7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25">
      <c r="A251" s="1">
        <v>2009</v>
      </c>
      <c r="B251" s="17">
        <v>11</v>
      </c>
      <c r="C251" s="15">
        <v>6</v>
      </c>
      <c r="D251" s="10">
        <v>7.7755800000000006</v>
      </c>
      <c r="E251" s="10">
        <v>10.423009999999998</v>
      </c>
      <c r="F251" s="10">
        <v>13.043869999999998</v>
      </c>
      <c r="G251" s="7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25">
      <c r="A252" s="1">
        <v>2009</v>
      </c>
      <c r="B252" s="17">
        <v>12</v>
      </c>
      <c r="C252" s="15">
        <v>1.9300000000000002</v>
      </c>
      <c r="D252" s="10">
        <v>7.9770399999999997</v>
      </c>
      <c r="E252" s="10">
        <v>3.1818200000000005</v>
      </c>
      <c r="F252" s="10">
        <v>3.2934300000000003</v>
      </c>
      <c r="G252" s="7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25">
      <c r="A253" s="1"/>
      <c r="B253" s="17"/>
      <c r="C253" s="11"/>
      <c r="D253" s="1"/>
      <c r="E253" s="1"/>
      <c r="F253" s="1"/>
      <c r="G253" s="7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25">
      <c r="A254" s="1"/>
      <c r="B254" s="17"/>
      <c r="C254" s="11"/>
      <c r="D254" s="1"/>
      <c r="E254" s="1"/>
      <c r="F254" s="1"/>
      <c r="G254" s="7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25">
      <c r="A255" s="1"/>
      <c r="B255" s="1"/>
      <c r="C255" s="11"/>
      <c r="D255" s="1"/>
      <c r="E255" s="1"/>
      <c r="F255" s="1"/>
      <c r="G255" s="7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25">
      <c r="A256" s="1"/>
      <c r="B256" s="9"/>
      <c r="C256" s="11"/>
      <c r="D256" s="1"/>
      <c r="E256" s="1"/>
      <c r="F256" s="1"/>
      <c r="G256" s="7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25">
      <c r="A257" s="1"/>
      <c r="B257" s="9"/>
      <c r="C257" s="11"/>
      <c r="D257" s="1"/>
      <c r="E257" s="1"/>
      <c r="F257" s="1"/>
      <c r="G257" s="7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25">
      <c r="A258" s="1"/>
      <c r="B258" s="9"/>
      <c r="C258" s="11"/>
      <c r="D258" s="1"/>
      <c r="E258" s="1"/>
      <c r="F258" s="1"/>
      <c r="G258" s="7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25">
      <c r="A259" s="1"/>
      <c r="B259" s="9"/>
      <c r="C259" s="11"/>
      <c r="D259" s="1"/>
      <c r="E259" s="1"/>
      <c r="F259" s="1"/>
      <c r="G259" s="7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25">
      <c r="A260" s="1"/>
      <c r="B260" s="9"/>
      <c r="C260" s="11"/>
      <c r="D260" s="1"/>
      <c r="E260" s="1"/>
      <c r="F260" s="1"/>
      <c r="G260" s="7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25">
      <c r="A261" s="1"/>
      <c r="B261" s="9"/>
      <c r="C261" s="11"/>
      <c r="D261" s="1"/>
      <c r="E261" s="1"/>
      <c r="F261" s="1"/>
      <c r="G261" s="7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25">
      <c r="A262" s="1"/>
      <c r="B262" s="9"/>
      <c r="C262" s="11"/>
      <c r="D262" s="1"/>
      <c r="E262" s="1"/>
      <c r="F262" s="1"/>
      <c r="G262" s="7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25">
      <c r="A263" s="1"/>
      <c r="B263" s="9"/>
      <c r="C263" s="11"/>
      <c r="D263" s="1"/>
      <c r="E263" s="1"/>
      <c r="F263" s="1"/>
      <c r="G263" s="7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25">
      <c r="A264" s="1"/>
      <c r="B264" s="9"/>
      <c r="C264" s="11"/>
      <c r="D264" s="1"/>
      <c r="E264" s="1"/>
      <c r="F264" s="1"/>
      <c r="G264" s="7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25">
      <c r="A265" s="1"/>
      <c r="B265" s="9"/>
      <c r="C265" s="11"/>
      <c r="D265" s="1"/>
      <c r="E265" s="1"/>
      <c r="F265" s="1"/>
      <c r="G265" s="7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25">
      <c r="A266" s="1"/>
      <c r="B266" s="9"/>
      <c r="C266" s="11"/>
      <c r="D266" s="1"/>
      <c r="E266" s="1"/>
      <c r="F266" s="1"/>
      <c r="G266" s="7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25">
      <c r="A267" s="1"/>
      <c r="B267" s="9"/>
      <c r="C267" s="11"/>
      <c r="D267" s="1"/>
      <c r="E267" s="1"/>
      <c r="F267" s="1"/>
      <c r="G267" s="7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25">
      <c r="A268" s="1"/>
      <c r="B268" s="9"/>
      <c r="C268" s="11"/>
      <c r="D268" s="1"/>
      <c r="E268" s="1"/>
      <c r="F268" s="1"/>
      <c r="G268" s="7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25">
      <c r="A269" s="1"/>
      <c r="B269" s="9"/>
      <c r="C269" s="11"/>
      <c r="D269" s="1"/>
      <c r="E269" s="1"/>
      <c r="F269" s="1"/>
      <c r="G269" s="7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25">
      <c r="A270" s="1"/>
      <c r="B270" s="9"/>
      <c r="C270" s="11"/>
      <c r="D270" s="1"/>
      <c r="E270" s="1"/>
      <c r="F270" s="1"/>
      <c r="G270" s="7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25">
      <c r="A271" s="1"/>
      <c r="B271" s="9"/>
      <c r="C271" s="11"/>
      <c r="D271" s="1"/>
      <c r="E271" s="1"/>
      <c r="F271" s="1"/>
      <c r="G271" s="7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25">
      <c r="A272" s="1"/>
      <c r="B272" s="9"/>
      <c r="C272" s="11"/>
      <c r="D272" s="1"/>
      <c r="E272" s="1"/>
      <c r="F272" s="1"/>
      <c r="G272" s="7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25">
      <c r="A273" s="1"/>
      <c r="B273" s="9"/>
      <c r="C273" s="11"/>
      <c r="D273" s="1"/>
      <c r="E273" s="1"/>
      <c r="F273" s="1"/>
      <c r="G273" s="7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25">
      <c r="A274" s="1"/>
      <c r="B274" s="9"/>
      <c r="C274" s="11"/>
      <c r="D274" s="1"/>
      <c r="E274" s="1"/>
      <c r="F274" s="1"/>
      <c r="G274" s="7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25">
      <c r="A275" s="1"/>
      <c r="B275" s="9"/>
      <c r="C275" s="11"/>
      <c r="D275" s="1"/>
      <c r="E275" s="1"/>
      <c r="F275" s="1"/>
      <c r="G275" s="7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25">
      <c r="A276" s="1"/>
      <c r="B276" s="9"/>
      <c r="C276" s="11"/>
      <c r="D276" s="1"/>
      <c r="E276" s="1"/>
      <c r="F276" s="1"/>
      <c r="G276" s="7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25">
      <c r="A277" s="1"/>
      <c r="B277" s="9"/>
      <c r="C277" s="11"/>
      <c r="D277" s="1"/>
      <c r="E277" s="1"/>
      <c r="F277" s="1"/>
      <c r="G277" s="7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25">
      <c r="A278" s="1"/>
      <c r="B278" s="9"/>
      <c r="C278" s="11"/>
      <c r="D278" s="1"/>
      <c r="E278" s="1"/>
      <c r="F278" s="1"/>
      <c r="G278" s="7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25">
      <c r="A279" s="1"/>
      <c r="B279" s="9"/>
      <c r="C279" s="11"/>
      <c r="D279" s="1"/>
      <c r="E279" s="1"/>
      <c r="F279" s="1"/>
      <c r="G279" s="7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25">
      <c r="A280" s="1"/>
      <c r="B280" s="9"/>
      <c r="C280" s="11"/>
      <c r="D280" s="1"/>
      <c r="E280" s="1"/>
      <c r="F280" s="1"/>
      <c r="G280" s="7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25">
      <c r="A281" s="1"/>
      <c r="B281" s="9"/>
      <c r="C281" s="11"/>
      <c r="D281" s="1"/>
      <c r="E281" s="1"/>
      <c r="F281" s="1"/>
      <c r="G281" s="7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25">
      <c r="A282" s="1"/>
      <c r="B282" s="9"/>
      <c r="C282" s="11"/>
      <c r="D282" s="1"/>
      <c r="E282" s="1"/>
      <c r="F282" s="1"/>
      <c r="G282" s="7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25">
      <c r="A283" s="1"/>
      <c r="B283" s="9"/>
      <c r="C283" s="11"/>
      <c r="D283" s="1"/>
      <c r="E283" s="1"/>
      <c r="F283" s="1"/>
      <c r="G283" s="7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25">
      <c r="A284" s="1"/>
      <c r="B284" s="9"/>
      <c r="C284" s="11"/>
      <c r="D284" s="1"/>
      <c r="E284" s="1"/>
      <c r="F284" s="1"/>
      <c r="G284" s="7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25">
      <c r="A285" s="1"/>
      <c r="B285" s="9"/>
      <c r="C285" s="11"/>
      <c r="D285" s="1"/>
      <c r="E285" s="1"/>
      <c r="F285" s="1"/>
      <c r="G285" s="7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25">
      <c r="A286" s="1"/>
      <c r="B286" s="9"/>
      <c r="C286" s="11"/>
      <c r="D286" s="1"/>
      <c r="E286" s="1"/>
      <c r="F286" s="1"/>
      <c r="G286" s="7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25">
      <c r="A287" s="1"/>
      <c r="B287" s="9"/>
      <c r="C287" s="11"/>
      <c r="D287" s="1"/>
      <c r="E287" s="1"/>
      <c r="F287" s="1"/>
      <c r="G287" s="7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25">
      <c r="A288" s="1"/>
      <c r="B288" s="9"/>
      <c r="C288" s="11"/>
      <c r="D288" s="1"/>
      <c r="E288" s="1"/>
      <c r="F288" s="1"/>
      <c r="G288" s="7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25">
      <c r="A289" s="1"/>
      <c r="B289" s="9"/>
      <c r="C289" s="11"/>
      <c r="D289" s="1"/>
      <c r="E289" s="1"/>
      <c r="F289" s="1"/>
      <c r="G289" s="7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25">
      <c r="A290" s="1"/>
      <c r="B290" s="9"/>
      <c r="C290" s="11"/>
      <c r="D290" s="1"/>
      <c r="E290" s="1"/>
      <c r="F290" s="1"/>
      <c r="G290" s="7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25">
      <c r="A291" s="1"/>
      <c r="B291" s="9"/>
      <c r="C291" s="11"/>
      <c r="D291" s="1"/>
      <c r="E291" s="1"/>
      <c r="F291" s="1"/>
      <c r="G291" s="7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25">
      <c r="A292" s="1"/>
      <c r="B292" s="9"/>
      <c r="C292" s="11"/>
      <c r="D292" s="1"/>
      <c r="E292" s="1"/>
      <c r="F292" s="1"/>
      <c r="G292" s="7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25">
      <c r="A293" s="1"/>
      <c r="B293" s="9"/>
      <c r="C293" s="11"/>
      <c r="D293" s="1"/>
      <c r="E293" s="1"/>
      <c r="F293" s="1"/>
      <c r="G293" s="7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25">
      <c r="A294" s="1"/>
      <c r="B294" s="9"/>
      <c r="C294" s="11"/>
      <c r="D294" s="1"/>
      <c r="E294" s="1"/>
      <c r="F294" s="1"/>
      <c r="G294" s="7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25">
      <c r="A295" s="1"/>
      <c r="B295" s="9"/>
      <c r="C295" s="11"/>
      <c r="D295" s="1"/>
      <c r="E295" s="1"/>
      <c r="F295" s="1"/>
      <c r="G295" s="7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25">
      <c r="A296" s="1"/>
      <c r="B296" s="9"/>
      <c r="C296" s="11"/>
      <c r="D296" s="1"/>
      <c r="E296" s="1"/>
      <c r="F296" s="1"/>
      <c r="G296" s="7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25">
      <c r="A297" s="1"/>
      <c r="B297" s="9"/>
      <c r="C297" s="11"/>
      <c r="D297" s="1"/>
      <c r="E297" s="1"/>
      <c r="F297" s="1"/>
      <c r="G297" s="7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25">
      <c r="A298" s="1"/>
      <c r="B298" s="9"/>
      <c r="C298" s="11"/>
      <c r="D298" s="1"/>
      <c r="E298" s="1"/>
      <c r="F298" s="1"/>
      <c r="G298" s="7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25">
      <c r="A299" s="1"/>
      <c r="B299" s="9"/>
      <c r="C299" s="11"/>
      <c r="D299" s="1"/>
      <c r="E299" s="1"/>
      <c r="F299" s="1"/>
      <c r="G299" s="7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25">
      <c r="A300" s="1"/>
      <c r="B300" s="9"/>
      <c r="C300" s="11"/>
      <c r="D300" s="1"/>
      <c r="E300" s="1"/>
      <c r="F300" s="1"/>
      <c r="G300" s="7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25">
      <c r="A301" s="1"/>
      <c r="B301" s="9"/>
      <c r="C301" s="11"/>
      <c r="D301" s="1"/>
      <c r="E301" s="1"/>
      <c r="F301" s="1"/>
      <c r="G301" s="7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25">
      <c r="A302" s="1"/>
      <c r="B302" s="9"/>
      <c r="C302" s="11"/>
      <c r="D302" s="1"/>
      <c r="E302" s="1"/>
      <c r="F302" s="1"/>
      <c r="G302" s="7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25">
      <c r="A303" s="1"/>
      <c r="B303" s="9"/>
      <c r="C303" s="11"/>
      <c r="D303" s="1"/>
      <c r="E303" s="1"/>
      <c r="F303" s="1"/>
      <c r="G303" s="7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25">
      <c r="A304" s="1"/>
      <c r="B304" s="9"/>
      <c r="C304" s="11"/>
      <c r="D304" s="1"/>
      <c r="E304" s="1"/>
      <c r="F304" s="1"/>
      <c r="G304" s="7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25">
      <c r="A305" s="1"/>
      <c r="B305" s="9"/>
      <c r="C305" s="11"/>
      <c r="D305" s="1"/>
      <c r="E305" s="1"/>
      <c r="F305" s="1"/>
      <c r="G305" s="7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25">
      <c r="A306" s="1"/>
      <c r="B306" s="9"/>
      <c r="C306" s="11"/>
      <c r="D306" s="1"/>
      <c r="E306" s="1"/>
      <c r="F306" s="1"/>
      <c r="G306" s="7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25">
      <c r="A307" s="1"/>
      <c r="B307" s="9"/>
      <c r="C307" s="11"/>
      <c r="D307" s="1"/>
      <c r="E307" s="1"/>
      <c r="F307" s="1"/>
      <c r="G307" s="7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25">
      <c r="A308" s="1"/>
      <c r="B308" s="9"/>
      <c r="C308" s="11"/>
      <c r="D308" s="1"/>
      <c r="E308" s="1"/>
      <c r="F308" s="1"/>
      <c r="G308" s="7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25">
      <c r="A309" s="1"/>
      <c r="B309" s="9"/>
      <c r="C309" s="11"/>
      <c r="D309" s="1"/>
      <c r="E309" s="1"/>
      <c r="F309" s="1"/>
      <c r="G309" s="7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25">
      <c r="A310" s="1"/>
      <c r="B310" s="9"/>
      <c r="C310" s="11"/>
      <c r="D310" s="1"/>
      <c r="E310" s="1"/>
      <c r="F310" s="1"/>
      <c r="G310" s="7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25">
      <c r="A311" s="1"/>
      <c r="B311" s="9"/>
      <c r="C311" s="11"/>
      <c r="D311" s="1"/>
      <c r="E311" s="1"/>
      <c r="F311" s="1"/>
      <c r="G311" s="7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25">
      <c r="A312" s="1"/>
      <c r="B312" s="9"/>
      <c r="C312" s="11"/>
      <c r="D312" s="1"/>
      <c r="E312" s="1"/>
      <c r="F312" s="1"/>
      <c r="G312" s="7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25">
      <c r="A313" s="1"/>
      <c r="B313" s="9"/>
      <c r="C313" s="11"/>
      <c r="D313" s="1"/>
      <c r="E313" s="1"/>
      <c r="F313" s="1"/>
      <c r="G313" s="7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25">
      <c r="A314" s="1"/>
      <c r="B314" s="9"/>
      <c r="C314" s="11"/>
      <c r="D314" s="1"/>
      <c r="E314" s="1"/>
      <c r="F314" s="1"/>
      <c r="G314" s="7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25">
      <c r="A315" s="1"/>
      <c r="B315" s="9"/>
      <c r="C315" s="11"/>
      <c r="D315" s="1"/>
      <c r="E315" s="1"/>
      <c r="F315" s="1"/>
      <c r="G315" s="7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25">
      <c r="A316" s="1"/>
      <c r="B316" s="9"/>
      <c r="C316" s="11"/>
      <c r="D316" s="1"/>
      <c r="E316" s="1"/>
      <c r="F316" s="1"/>
      <c r="G316" s="7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25">
      <c r="A317" s="1"/>
      <c r="B317" s="9"/>
      <c r="C317" s="11"/>
      <c r="D317" s="1"/>
      <c r="E317" s="1"/>
      <c r="F317" s="1"/>
      <c r="G317" s="7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25">
      <c r="A318" s="1"/>
      <c r="B318" s="9"/>
      <c r="C318" s="11"/>
      <c r="D318" s="1"/>
      <c r="E318" s="1"/>
      <c r="F318" s="1"/>
      <c r="G318" s="7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25">
      <c r="A319" s="1"/>
      <c r="B319" s="9"/>
      <c r="C319" s="11"/>
      <c r="D319" s="1"/>
      <c r="E319" s="1"/>
      <c r="F319" s="1"/>
      <c r="G319" s="7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25">
      <c r="A320" s="1"/>
      <c r="B320" s="9"/>
      <c r="C320" s="11"/>
      <c r="D320" s="1"/>
      <c r="E320" s="1"/>
      <c r="F320" s="1"/>
      <c r="G320" s="7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25">
      <c r="A321" s="1"/>
      <c r="B321" s="9"/>
      <c r="C321" s="11"/>
      <c r="D321" s="1"/>
      <c r="E321" s="1"/>
      <c r="F321" s="1"/>
      <c r="G321" s="7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25">
      <c r="A322" s="1"/>
      <c r="B322" s="9"/>
      <c r="C322" s="11"/>
      <c r="D322" s="1"/>
      <c r="E322" s="1"/>
      <c r="F322" s="1"/>
      <c r="G322" s="7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25">
      <c r="A323" s="1"/>
      <c r="B323" s="9"/>
      <c r="C323" s="11"/>
      <c r="D323" s="1"/>
      <c r="E323" s="1"/>
      <c r="F323" s="1"/>
      <c r="G323" s="7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25">
      <c r="A324" s="1"/>
      <c r="B324" s="9"/>
      <c r="C324" s="11"/>
      <c r="D324" s="1"/>
      <c r="E324" s="1"/>
      <c r="F324" s="1"/>
      <c r="G324" s="7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25">
      <c r="A325" s="1"/>
      <c r="B325" s="9"/>
      <c r="C325" s="11"/>
      <c r="D325" s="1"/>
      <c r="E325" s="1"/>
      <c r="F325" s="1"/>
      <c r="G325" s="7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25">
      <c r="A326" s="1"/>
      <c r="B326" s="9"/>
      <c r="C326" s="11"/>
      <c r="D326" s="1"/>
      <c r="E326" s="1"/>
      <c r="F326" s="1"/>
      <c r="G326" s="7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25">
      <c r="A327" s="1"/>
      <c r="B327" s="9"/>
      <c r="C327" s="11"/>
      <c r="D327" s="1"/>
      <c r="E327" s="1"/>
      <c r="F327" s="1"/>
      <c r="G327" s="7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25">
      <c r="A328" s="1"/>
      <c r="B328" s="9"/>
      <c r="C328" s="11"/>
      <c r="D328" s="1"/>
      <c r="E328" s="1"/>
      <c r="F328" s="1"/>
      <c r="G328" s="7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25">
      <c r="A329" s="1"/>
      <c r="B329" s="9"/>
      <c r="C329" s="11"/>
      <c r="D329" s="1"/>
      <c r="E329" s="1"/>
      <c r="F329" s="1"/>
      <c r="G329" s="7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25">
      <c r="A330" s="1"/>
      <c r="B330" s="9"/>
      <c r="C330" s="11"/>
      <c r="D330" s="1"/>
      <c r="E330" s="1"/>
      <c r="F330" s="1"/>
      <c r="G330" s="7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25">
      <c r="A331" s="1"/>
      <c r="B331" s="9"/>
      <c r="C331" s="11"/>
      <c r="D331" s="1"/>
      <c r="E331" s="1"/>
      <c r="F331" s="1"/>
      <c r="G331" s="7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25">
      <c r="A332" s="1"/>
      <c r="B332" s="9"/>
      <c r="C332" s="11"/>
      <c r="D332" s="1"/>
      <c r="E332" s="1"/>
      <c r="F332" s="1"/>
      <c r="G332" s="7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25">
      <c r="A333" s="1"/>
      <c r="B333" s="9"/>
      <c r="C333" s="11"/>
      <c r="D333" s="1"/>
      <c r="E333" s="1"/>
      <c r="F333" s="1"/>
      <c r="G333" s="7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25">
      <c r="A334" s="1"/>
      <c r="B334" s="9"/>
      <c r="C334" s="11"/>
      <c r="D334" s="1"/>
      <c r="E334" s="1"/>
      <c r="F334" s="1"/>
      <c r="G334" s="7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25">
      <c r="A335" s="1"/>
      <c r="B335" s="9"/>
      <c r="C335" s="11"/>
      <c r="D335" s="1"/>
      <c r="E335" s="1"/>
      <c r="F335" s="1"/>
      <c r="G335" s="7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25">
      <c r="A336" s="1"/>
      <c r="B336" s="9"/>
      <c r="C336" s="11"/>
      <c r="D336" s="1"/>
      <c r="E336" s="1"/>
      <c r="F336" s="1"/>
      <c r="G336" s="7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25">
      <c r="A337" s="1"/>
      <c r="B337" s="9"/>
      <c r="C337" s="11"/>
      <c r="D337" s="1"/>
      <c r="E337" s="1"/>
      <c r="F337" s="1"/>
      <c r="G337" s="7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25">
      <c r="A338" s="1"/>
      <c r="B338" s="9"/>
      <c r="C338" s="11"/>
      <c r="D338" s="1"/>
      <c r="E338" s="1"/>
      <c r="F338" s="1"/>
      <c r="G338" s="7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25">
      <c r="A339" s="1"/>
      <c r="B339" s="9"/>
      <c r="C339" s="11"/>
      <c r="D339" s="1"/>
      <c r="E339" s="1"/>
      <c r="F339" s="1"/>
      <c r="G339" s="7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25">
      <c r="A340" s="1"/>
      <c r="B340" s="9"/>
      <c r="C340" s="11"/>
      <c r="D340" s="1"/>
      <c r="E340" s="1"/>
      <c r="F340" s="1"/>
      <c r="G340" s="7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25">
      <c r="A341" s="1"/>
      <c r="B341" s="9"/>
      <c r="C341" s="11"/>
      <c r="D341" s="1"/>
      <c r="E341" s="1"/>
      <c r="F341" s="1"/>
      <c r="G341" s="7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25">
      <c r="A342" s="1"/>
      <c r="B342" s="9"/>
      <c r="C342" s="11"/>
      <c r="D342" s="1"/>
      <c r="E342" s="1"/>
      <c r="F342" s="1"/>
      <c r="G342" s="7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25">
      <c r="A343" s="1"/>
      <c r="B343" s="9"/>
      <c r="C343" s="11"/>
      <c r="D343" s="1"/>
      <c r="E343" s="1"/>
      <c r="F343" s="1"/>
      <c r="G343" s="7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25">
      <c r="A344" s="1"/>
      <c r="B344" s="9"/>
      <c r="C344" s="11"/>
      <c r="D344" s="1"/>
      <c r="E344" s="1"/>
      <c r="F344" s="1"/>
      <c r="G344" s="7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25">
      <c r="A345" s="1"/>
      <c r="B345" s="9"/>
      <c r="C345" s="11"/>
      <c r="D345" s="1"/>
      <c r="E345" s="1"/>
      <c r="F345" s="1"/>
      <c r="G345" s="7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25">
      <c r="A346" s="1"/>
      <c r="B346" s="9"/>
      <c r="C346" s="11"/>
      <c r="D346" s="1"/>
      <c r="E346" s="1"/>
      <c r="F346" s="1"/>
      <c r="G346" s="7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25">
      <c r="A347" s="1"/>
      <c r="B347" s="9"/>
      <c r="C347" s="11"/>
      <c r="D347" s="1"/>
      <c r="E347" s="1"/>
      <c r="F347" s="1"/>
      <c r="G347" s="7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25">
      <c r="A348" s="1"/>
      <c r="B348" s="9"/>
      <c r="C348" s="11"/>
      <c r="D348" s="1"/>
      <c r="E348" s="1"/>
      <c r="F348" s="1"/>
      <c r="G348" s="7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25">
      <c r="A349" s="1"/>
      <c r="B349" s="9"/>
      <c r="C349" s="11"/>
      <c r="D349" s="1"/>
      <c r="E349" s="1"/>
      <c r="F349" s="1"/>
      <c r="G349" s="7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25">
      <c r="A350" s="1"/>
      <c r="B350" s="9"/>
      <c r="C350" s="11"/>
      <c r="D350" s="1"/>
      <c r="E350" s="1"/>
      <c r="F350" s="1"/>
      <c r="G350" s="7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25">
      <c r="A351" s="1"/>
      <c r="B351" s="9"/>
      <c r="C351" s="11"/>
      <c r="D351" s="1"/>
      <c r="E351" s="1"/>
      <c r="F351" s="1"/>
      <c r="G351" s="7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25">
      <c r="A352" s="1"/>
      <c r="B352" s="9"/>
      <c r="C352" s="11"/>
      <c r="D352" s="1"/>
      <c r="E352" s="1"/>
      <c r="F352" s="1"/>
      <c r="G352" s="7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25">
      <c r="A353" s="1"/>
      <c r="B353" s="9"/>
      <c r="C353" s="11"/>
      <c r="D353" s="1"/>
      <c r="E353" s="1"/>
      <c r="F353" s="1"/>
      <c r="G353" s="7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25">
      <c r="A354" s="1"/>
      <c r="B354" s="9"/>
      <c r="C354" s="11"/>
      <c r="D354" s="1"/>
      <c r="E354" s="1"/>
      <c r="F354" s="1"/>
      <c r="G354" s="7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25">
      <c r="A355" s="1"/>
      <c r="B355" s="9"/>
      <c r="C355" s="11"/>
      <c r="D355" s="1"/>
      <c r="E355" s="1"/>
      <c r="F355" s="1"/>
      <c r="G355" s="7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25">
      <c r="A356" s="1"/>
      <c r="B356" s="9"/>
      <c r="C356" s="11"/>
      <c r="D356" s="1"/>
      <c r="E356" s="1"/>
      <c r="F356" s="1"/>
      <c r="G356" s="7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25">
      <c r="A357" s="1"/>
      <c r="B357" s="9"/>
      <c r="C357" s="11"/>
      <c r="D357" s="1"/>
      <c r="E357" s="1"/>
      <c r="F357" s="1"/>
      <c r="G357" s="7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25">
      <c r="A358" s="1"/>
      <c r="B358" s="9"/>
      <c r="C358" s="11"/>
      <c r="D358" s="1"/>
      <c r="E358" s="1"/>
      <c r="F358" s="1"/>
      <c r="G358" s="7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25">
      <c r="A359" s="1"/>
      <c r="B359" s="9"/>
      <c r="C359" s="11"/>
      <c r="D359" s="1"/>
      <c r="E359" s="1"/>
      <c r="F359" s="1"/>
      <c r="G359" s="7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25">
      <c r="A360" s="1"/>
      <c r="B360" s="9"/>
      <c r="C360" s="11"/>
      <c r="D360" s="1"/>
      <c r="E360" s="1"/>
      <c r="F360" s="1"/>
      <c r="G360" s="7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25">
      <c r="A361" s="1"/>
      <c r="B361" s="9"/>
      <c r="C361" s="11"/>
      <c r="D361" s="1"/>
      <c r="E361" s="1"/>
      <c r="F361" s="1"/>
      <c r="G361" s="7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25">
      <c r="A362" s="1"/>
      <c r="B362" s="9"/>
      <c r="C362" s="11"/>
      <c r="D362" s="1"/>
      <c r="E362" s="1"/>
      <c r="F362" s="1"/>
      <c r="G362" s="7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25">
      <c r="A363" s="1"/>
      <c r="B363" s="9"/>
      <c r="C363" s="11"/>
      <c r="D363" s="1"/>
      <c r="E363" s="1"/>
      <c r="F363" s="1"/>
      <c r="G363" s="7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25">
      <c r="A364" s="1"/>
      <c r="B364" s="9"/>
      <c r="C364" s="11"/>
      <c r="D364" s="1"/>
      <c r="E364" s="1"/>
      <c r="F364" s="1"/>
      <c r="G364" s="7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25">
      <c r="A365" s="1"/>
      <c r="B365" s="9"/>
      <c r="C365" s="11"/>
      <c r="D365" s="1"/>
      <c r="E365" s="1"/>
      <c r="F365" s="1"/>
      <c r="G365" s="7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25">
      <c r="A366" s="1"/>
      <c r="B366" s="9"/>
      <c r="C366" s="11"/>
      <c r="D366" s="1"/>
      <c r="E366" s="1"/>
      <c r="F366" s="1"/>
      <c r="G366" s="7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25">
      <c r="A367" s="1"/>
      <c r="B367" s="9"/>
      <c r="C367" s="11"/>
      <c r="D367" s="1"/>
      <c r="E367" s="1"/>
      <c r="F367" s="1"/>
      <c r="G367" s="7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25">
      <c r="A368" s="1"/>
      <c r="B368" s="9"/>
      <c r="C368" s="11"/>
      <c r="D368" s="1"/>
      <c r="E368" s="1"/>
      <c r="F368" s="1"/>
      <c r="G368" s="7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25">
      <c r="A369" s="1"/>
      <c r="B369" s="9"/>
      <c r="C369" s="11"/>
      <c r="D369" s="1"/>
      <c r="E369" s="1"/>
      <c r="F369" s="1"/>
      <c r="G369" s="7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25">
      <c r="A370" s="1"/>
      <c r="B370" s="9"/>
      <c r="C370" s="11"/>
      <c r="D370" s="1"/>
      <c r="E370" s="1"/>
      <c r="F370" s="1"/>
      <c r="G370" s="7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25">
      <c r="A371" s="1"/>
      <c r="B371" s="9"/>
      <c r="C371" s="11"/>
      <c r="D371" s="1"/>
      <c r="E371" s="1"/>
      <c r="F371" s="1"/>
      <c r="G371" s="7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25">
      <c r="A372" s="1"/>
      <c r="B372" s="9"/>
      <c r="C372" s="11"/>
      <c r="D372" s="1"/>
      <c r="E372" s="1"/>
      <c r="F372" s="1"/>
      <c r="G372" s="7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25">
      <c r="A373" s="1"/>
      <c r="B373" s="9"/>
      <c r="C373" s="11"/>
      <c r="D373" s="1"/>
      <c r="E373" s="1"/>
      <c r="F373" s="1"/>
      <c r="G373" s="7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25">
      <c r="A374" s="1"/>
      <c r="B374" s="9"/>
      <c r="C374" s="11"/>
      <c r="D374" s="1"/>
      <c r="E374" s="1"/>
      <c r="F374" s="1"/>
      <c r="G374" s="7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25">
      <c r="A375" s="1"/>
      <c r="B375" s="9"/>
      <c r="C375" s="11"/>
      <c r="D375" s="1"/>
      <c r="E375" s="1"/>
      <c r="F375" s="1"/>
      <c r="G375" s="7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25">
      <c r="A376" s="1"/>
      <c r="B376" s="9"/>
      <c r="C376" s="11"/>
      <c r="D376" s="1"/>
      <c r="E376" s="1"/>
      <c r="F376" s="1"/>
      <c r="G376" s="7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25">
      <c r="A377" s="1"/>
      <c r="B377" s="9"/>
      <c r="C377" s="11"/>
      <c r="D377" s="1"/>
      <c r="E377" s="1"/>
      <c r="F377" s="1"/>
      <c r="G377" s="7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25">
      <c r="A378" s="1"/>
      <c r="B378" s="9"/>
      <c r="C378" s="11"/>
      <c r="D378" s="1"/>
      <c r="E378" s="1"/>
      <c r="F378" s="1"/>
      <c r="G378" s="7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25">
      <c r="A379" s="1"/>
      <c r="B379" s="9"/>
      <c r="C379" s="11"/>
      <c r="D379" s="1"/>
      <c r="E379" s="1"/>
      <c r="F379" s="1"/>
      <c r="G379" s="7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25">
      <c r="A380" s="1"/>
      <c r="B380" s="9"/>
      <c r="C380" s="11"/>
      <c r="D380" s="1"/>
      <c r="E380" s="1"/>
      <c r="F380" s="1"/>
      <c r="G380" s="7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25">
      <c r="A381" s="1"/>
      <c r="B381" s="9"/>
      <c r="C381" s="11"/>
      <c r="D381" s="1"/>
      <c r="E381" s="1"/>
      <c r="F381" s="1"/>
      <c r="G381" s="7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25">
      <c r="A382" s="1"/>
      <c r="B382" s="9"/>
      <c r="C382" s="11"/>
      <c r="D382" s="1"/>
      <c r="E382" s="1"/>
      <c r="F382" s="1"/>
      <c r="G382" s="7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25">
      <c r="A383" s="1"/>
      <c r="B383" s="9"/>
      <c r="C383" s="11"/>
      <c r="D383" s="1"/>
      <c r="E383" s="1"/>
      <c r="F383" s="1"/>
      <c r="G383" s="7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25">
      <c r="A384" s="1"/>
      <c r="B384" s="9"/>
      <c r="C384" s="11"/>
      <c r="D384" s="1"/>
      <c r="E384" s="1"/>
      <c r="F384" s="1"/>
      <c r="G384" s="7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25">
      <c r="A385" s="1"/>
      <c r="B385" s="9"/>
      <c r="C385" s="11"/>
      <c r="D385" s="1"/>
      <c r="E385" s="1"/>
      <c r="F385" s="1"/>
      <c r="G385" s="7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25">
      <c r="A386" s="1"/>
      <c r="B386" s="9"/>
      <c r="C386" s="11"/>
      <c r="D386" s="1"/>
      <c r="E386" s="1"/>
      <c r="F386" s="1"/>
      <c r="G386" s="7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25">
      <c r="A387" s="1"/>
      <c r="B387" s="9"/>
      <c r="C387" s="11"/>
      <c r="D387" s="1"/>
      <c r="E387" s="1"/>
      <c r="F387" s="1"/>
      <c r="G387" s="7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25">
      <c r="A388" s="1"/>
      <c r="B388" s="9"/>
      <c r="C388" s="11"/>
      <c r="D388" s="1"/>
      <c r="E388" s="1"/>
      <c r="F388" s="1"/>
      <c r="G388" s="7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25">
      <c r="A389" s="1"/>
      <c r="B389" s="9"/>
      <c r="C389" s="11"/>
      <c r="D389" s="1"/>
      <c r="E389" s="1"/>
      <c r="F389" s="1"/>
      <c r="G389" s="7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25">
      <c r="A390" s="1"/>
      <c r="B390" s="9"/>
      <c r="C390" s="11"/>
      <c r="D390" s="1"/>
      <c r="E390" s="1"/>
      <c r="F390" s="1"/>
      <c r="G390" s="7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25">
      <c r="A391" s="1"/>
      <c r="B391" s="9"/>
      <c r="C391" s="11"/>
      <c r="D391" s="1"/>
      <c r="E391" s="1"/>
      <c r="F391" s="1"/>
      <c r="G391" s="7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25">
      <c r="A392" s="1"/>
      <c r="B392" s="9"/>
      <c r="C392" s="11"/>
      <c r="D392" s="1"/>
      <c r="E392" s="1"/>
      <c r="F392" s="1"/>
      <c r="G392" s="7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25">
      <c r="A393" s="1"/>
      <c r="B393" s="9"/>
      <c r="C393" s="11"/>
      <c r="D393" s="1"/>
      <c r="E393" s="1"/>
      <c r="F393" s="1"/>
      <c r="G393" s="7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25">
      <c r="A394" s="1"/>
      <c r="B394" s="9"/>
      <c r="C394" s="11"/>
      <c r="D394" s="1"/>
      <c r="E394" s="1"/>
      <c r="F394" s="1"/>
      <c r="G394" s="7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25">
      <c r="A395" s="1"/>
      <c r="B395" s="9"/>
      <c r="C395" s="11"/>
      <c r="D395" s="1"/>
      <c r="E395" s="1"/>
      <c r="F395" s="1"/>
      <c r="G395" s="7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25">
      <c r="A396" s="1"/>
      <c r="B396" s="9"/>
      <c r="C396" s="11"/>
      <c r="D396" s="1"/>
      <c r="E396" s="1"/>
      <c r="F396" s="1"/>
      <c r="G396" s="7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25">
      <c r="A397" s="1"/>
      <c r="B397" s="9"/>
      <c r="C397" s="11"/>
      <c r="D397" s="1"/>
      <c r="E397" s="1"/>
      <c r="F397" s="1"/>
      <c r="G397" s="7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25">
      <c r="A398" s="1"/>
      <c r="B398" s="9"/>
      <c r="C398" s="11"/>
      <c r="D398" s="1"/>
      <c r="E398" s="1"/>
      <c r="F398" s="1"/>
      <c r="G398" s="7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25">
      <c r="A399" s="1"/>
      <c r="B399" s="9"/>
      <c r="C399" s="11"/>
      <c r="D399" s="1"/>
      <c r="E399" s="1"/>
      <c r="F399" s="1"/>
      <c r="G399" s="7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25">
      <c r="A400" s="1"/>
      <c r="B400" s="9"/>
      <c r="C400" s="11"/>
      <c r="D400" s="1"/>
      <c r="E400" s="1"/>
      <c r="F400" s="1"/>
      <c r="G400" s="7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25">
      <c r="A401" s="1"/>
      <c r="B401" s="9"/>
      <c r="C401" s="11"/>
      <c r="D401" s="1"/>
      <c r="E401" s="1"/>
      <c r="F401" s="1"/>
      <c r="G401" s="7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25">
      <c r="A402" s="1"/>
      <c r="B402" s="9"/>
      <c r="C402" s="11"/>
      <c r="D402" s="1"/>
      <c r="E402" s="1"/>
      <c r="F402" s="1"/>
      <c r="G402" s="7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25">
      <c r="A403" s="1"/>
      <c r="B403" s="9"/>
      <c r="C403" s="11"/>
      <c r="D403" s="1"/>
      <c r="E403" s="1"/>
      <c r="F403" s="1"/>
      <c r="G403" s="7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25">
      <c r="A404" s="1"/>
      <c r="B404" s="9"/>
      <c r="C404" s="11"/>
      <c r="D404" s="1"/>
      <c r="E404" s="1"/>
      <c r="F404" s="1"/>
      <c r="G404" s="7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25">
      <c r="A405" s="1"/>
      <c r="B405" s="9"/>
      <c r="C405" s="11"/>
      <c r="D405" s="1"/>
      <c r="E405" s="1"/>
      <c r="F405" s="1"/>
      <c r="G405" s="7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25">
      <c r="A406" s="1"/>
      <c r="B406" s="9"/>
      <c r="C406" s="11"/>
      <c r="D406" s="1"/>
      <c r="E406" s="1"/>
      <c r="F406" s="1"/>
      <c r="G406" s="7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25">
      <c r="A407" s="1"/>
      <c r="B407" s="9"/>
      <c r="C407" s="11"/>
      <c r="D407" s="1"/>
      <c r="E407" s="1"/>
      <c r="F407" s="1"/>
      <c r="G407" s="7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25">
      <c r="A408" s="1"/>
      <c r="B408" s="9"/>
      <c r="C408" s="11"/>
      <c r="D408" s="1"/>
      <c r="E408" s="1"/>
      <c r="F408" s="1"/>
      <c r="G408" s="7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25">
      <c r="A409" s="1"/>
      <c r="B409" s="9"/>
      <c r="C409" s="11"/>
      <c r="D409" s="1"/>
      <c r="E409" s="1"/>
      <c r="F409" s="1"/>
      <c r="G409" s="7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25">
      <c r="A410" s="1"/>
      <c r="B410" s="9"/>
      <c r="C410" s="11"/>
      <c r="D410" s="1"/>
      <c r="E410" s="1"/>
      <c r="F410" s="1"/>
      <c r="G410" s="7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25">
      <c r="A411" s="1"/>
      <c r="B411" s="9"/>
      <c r="C411" s="11"/>
      <c r="D411" s="1"/>
      <c r="E411" s="1"/>
      <c r="F411" s="1"/>
      <c r="G411" s="7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25">
      <c r="A412" s="1"/>
      <c r="B412" s="9"/>
      <c r="C412" s="11"/>
      <c r="D412" s="1"/>
      <c r="E412" s="1"/>
      <c r="F412" s="1"/>
      <c r="G412" s="7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25">
      <c r="A413" s="1"/>
      <c r="B413" s="9"/>
      <c r="C413" s="11"/>
      <c r="D413" s="1"/>
      <c r="E413" s="1"/>
      <c r="F413" s="1"/>
      <c r="G413" s="7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25">
      <c r="A414" s="1"/>
      <c r="B414" s="9"/>
      <c r="C414" s="11"/>
      <c r="D414" s="1"/>
      <c r="E414" s="1"/>
      <c r="F414" s="1"/>
      <c r="G414" s="7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25">
      <c r="A415" s="1"/>
      <c r="B415" s="9"/>
      <c r="C415" s="11"/>
      <c r="D415" s="1"/>
      <c r="E415" s="1"/>
      <c r="F415" s="1"/>
      <c r="G415" s="7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25">
      <c r="A416" s="1"/>
      <c r="B416" s="9"/>
      <c r="C416" s="11"/>
      <c r="D416" s="1"/>
      <c r="E416" s="1"/>
      <c r="F416" s="1"/>
      <c r="G416" s="7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25">
      <c r="A417" s="1"/>
      <c r="B417" s="9"/>
      <c r="C417" s="11"/>
      <c r="D417" s="1"/>
      <c r="E417" s="1"/>
      <c r="F417" s="1"/>
      <c r="G417" s="7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25">
      <c r="A418" s="1"/>
      <c r="B418" s="9"/>
      <c r="C418" s="11"/>
      <c r="D418" s="1"/>
      <c r="E418" s="1"/>
      <c r="F418" s="1"/>
      <c r="G418" s="7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25">
      <c r="A419" s="1"/>
      <c r="B419" s="9"/>
      <c r="C419" s="11"/>
      <c r="D419" s="1"/>
      <c r="E419" s="1"/>
      <c r="F419" s="1"/>
      <c r="G419" s="7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25">
      <c r="A420" s="1"/>
      <c r="B420" s="9"/>
      <c r="C420" s="11"/>
      <c r="D420" s="1"/>
      <c r="E420" s="1"/>
      <c r="F420" s="1"/>
      <c r="G420" s="7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25">
      <c r="A421" s="1"/>
      <c r="B421" s="9"/>
      <c r="C421" s="11"/>
      <c r="D421" s="1"/>
      <c r="E421" s="1"/>
      <c r="F421" s="1"/>
      <c r="G421" s="7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25">
      <c r="A422" s="1"/>
      <c r="B422" s="9"/>
      <c r="C422" s="11"/>
      <c r="D422" s="1"/>
      <c r="E422" s="1"/>
      <c r="F422" s="1"/>
      <c r="G422" s="7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25">
      <c r="A423" s="1"/>
      <c r="B423" s="9"/>
      <c r="C423" s="11"/>
      <c r="D423" s="1"/>
      <c r="E423" s="1"/>
      <c r="F423" s="1"/>
      <c r="G423" s="7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25">
      <c r="A424" s="1"/>
      <c r="B424" s="9"/>
      <c r="C424" s="11"/>
      <c r="D424" s="1"/>
      <c r="E424" s="1"/>
      <c r="F424" s="1"/>
      <c r="G424" s="7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25">
      <c r="A425" s="1"/>
      <c r="B425" s="9"/>
      <c r="C425" s="11"/>
      <c r="D425" s="1"/>
      <c r="E425" s="1"/>
      <c r="F425" s="1"/>
      <c r="G425" s="7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25">
      <c r="A426" s="1"/>
      <c r="B426" s="9"/>
      <c r="C426" s="11"/>
      <c r="D426" s="1"/>
      <c r="E426" s="1"/>
      <c r="F426" s="1"/>
      <c r="G426" s="7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25">
      <c r="A427" s="1"/>
      <c r="B427" s="9"/>
      <c r="C427" s="11"/>
      <c r="D427" s="1"/>
      <c r="E427" s="1"/>
      <c r="F427" s="1"/>
      <c r="G427" s="7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25">
      <c r="A428" s="1"/>
      <c r="B428" s="9"/>
      <c r="C428" s="11"/>
      <c r="D428" s="1"/>
      <c r="E428" s="1"/>
      <c r="F428" s="1"/>
      <c r="G428" s="7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25">
      <c r="A429" s="1"/>
      <c r="B429" s="9"/>
      <c r="C429" s="11"/>
      <c r="D429" s="1"/>
      <c r="E429" s="1"/>
      <c r="F429" s="1"/>
      <c r="G429" s="7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25">
      <c r="A430" s="1"/>
      <c r="B430" s="9"/>
      <c r="C430" s="11"/>
      <c r="D430" s="1"/>
      <c r="E430" s="1"/>
      <c r="F430" s="1"/>
      <c r="G430" s="7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25">
      <c r="A431" s="1"/>
      <c r="B431" s="9"/>
      <c r="C431" s="11"/>
      <c r="D431" s="1"/>
      <c r="E431" s="1"/>
      <c r="F431" s="1"/>
      <c r="G431" s="7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25">
      <c r="A432" s="1"/>
      <c r="B432" s="9"/>
      <c r="C432" s="11"/>
      <c r="D432" s="1"/>
      <c r="E432" s="1"/>
      <c r="F432" s="1"/>
      <c r="G432" s="7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25">
      <c r="A433" s="1"/>
      <c r="B433" s="9"/>
      <c r="C433" s="11"/>
      <c r="D433" s="1"/>
      <c r="E433" s="1"/>
      <c r="F433" s="1"/>
      <c r="G433" s="7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25">
      <c r="A434" s="1"/>
      <c r="B434" s="9"/>
      <c r="C434" s="11"/>
      <c r="D434" s="1"/>
      <c r="E434" s="1"/>
      <c r="F434" s="1"/>
      <c r="G434" s="7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25">
      <c r="A435" s="1"/>
      <c r="B435" s="9"/>
      <c r="C435" s="11"/>
      <c r="D435" s="1"/>
      <c r="E435" s="1"/>
      <c r="F435" s="1"/>
      <c r="G435" s="7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25">
      <c r="A436" s="1"/>
      <c r="B436" s="9"/>
      <c r="C436" s="11"/>
      <c r="D436" s="1"/>
      <c r="E436" s="1"/>
      <c r="F436" s="1"/>
      <c r="G436" s="7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25">
      <c r="A437" s="1"/>
      <c r="B437" s="9"/>
      <c r="C437" s="11"/>
      <c r="D437" s="1"/>
      <c r="E437" s="1"/>
      <c r="F437" s="1"/>
      <c r="G437" s="7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25">
      <c r="A438" s="1"/>
      <c r="B438" s="9"/>
      <c r="C438" s="11"/>
      <c r="D438" s="1"/>
      <c r="E438" s="1"/>
      <c r="F438" s="1"/>
      <c r="G438" s="7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25">
      <c r="A439" s="1"/>
      <c r="B439" s="9"/>
      <c r="C439" s="11"/>
      <c r="D439" s="1"/>
      <c r="E439" s="1"/>
      <c r="F439" s="1"/>
      <c r="G439" s="7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25">
      <c r="A440" s="1"/>
      <c r="B440" s="9"/>
      <c r="C440" s="11"/>
      <c r="D440" s="1"/>
      <c r="E440" s="1"/>
      <c r="F440" s="1"/>
      <c r="G440" s="7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25">
      <c r="A441" s="1"/>
      <c r="B441" s="9"/>
      <c r="C441" s="11"/>
      <c r="D441" s="1"/>
      <c r="E441" s="1"/>
      <c r="F441" s="1"/>
      <c r="G441" s="7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25">
      <c r="A442" s="1"/>
      <c r="B442" s="9"/>
      <c r="C442" s="11"/>
      <c r="D442" s="1"/>
      <c r="E442" s="1"/>
      <c r="F442" s="1"/>
      <c r="G442" s="7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25">
      <c r="A443" s="1"/>
      <c r="B443" s="9"/>
      <c r="C443" s="11"/>
      <c r="D443" s="1"/>
      <c r="E443" s="1"/>
      <c r="F443" s="1"/>
      <c r="G443" s="7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25">
      <c r="A444" s="1"/>
      <c r="B444" s="9"/>
      <c r="C444" s="11"/>
      <c r="D444" s="1"/>
      <c r="E444" s="1"/>
      <c r="F444" s="1"/>
      <c r="G444" s="7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25">
      <c r="A445" s="1"/>
      <c r="B445" s="9"/>
      <c r="C445" s="11"/>
      <c r="D445" s="1"/>
      <c r="E445" s="1"/>
      <c r="F445" s="1"/>
      <c r="G445" s="7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25">
      <c r="A446" s="1"/>
      <c r="B446" s="9"/>
      <c r="C446" s="11"/>
      <c r="D446" s="1"/>
      <c r="E446" s="1"/>
      <c r="F446" s="1"/>
      <c r="G446" s="7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25">
      <c r="A447" s="1"/>
      <c r="B447" s="9"/>
      <c r="C447" s="11"/>
      <c r="D447" s="1"/>
      <c r="E447" s="1"/>
      <c r="F447" s="1"/>
      <c r="G447" s="7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25">
      <c r="A448" s="1"/>
      <c r="B448" s="9"/>
      <c r="C448" s="11"/>
      <c r="D448" s="1"/>
      <c r="E448" s="1"/>
      <c r="F448" s="1"/>
      <c r="G448" s="7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25">
      <c r="A449" s="1"/>
      <c r="B449" s="9"/>
      <c r="C449" s="11"/>
      <c r="D449" s="1"/>
      <c r="E449" s="1"/>
      <c r="F449" s="1"/>
      <c r="G449" s="7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25">
      <c r="A450" s="1"/>
      <c r="B450" s="9"/>
      <c r="C450" s="11"/>
      <c r="D450" s="1"/>
      <c r="E450" s="1"/>
      <c r="F450" s="1"/>
      <c r="G450" s="7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25">
      <c r="A451" s="1"/>
      <c r="B451" s="9"/>
      <c r="C451" s="11"/>
      <c r="D451" s="1"/>
      <c r="E451" s="1"/>
      <c r="F451" s="1"/>
      <c r="G451" s="7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25">
      <c r="A452" s="1"/>
      <c r="B452" s="9"/>
      <c r="C452" s="11"/>
      <c r="D452" s="1"/>
      <c r="E452" s="1"/>
      <c r="F452" s="1"/>
      <c r="G452" s="7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25">
      <c r="A453" s="1"/>
      <c r="B453" s="9"/>
      <c r="C453" s="11"/>
      <c r="D453" s="1"/>
      <c r="E453" s="1"/>
      <c r="F453" s="1"/>
      <c r="G453" s="7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25">
      <c r="A454" s="1"/>
      <c r="B454" s="9"/>
      <c r="C454" s="11"/>
      <c r="D454" s="1"/>
      <c r="E454" s="1"/>
      <c r="F454" s="1"/>
      <c r="G454" s="7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25">
      <c r="A455" s="1"/>
      <c r="B455" s="9"/>
      <c r="C455" s="11"/>
      <c r="D455" s="1"/>
      <c r="E455" s="1"/>
      <c r="F455" s="1"/>
      <c r="G455" s="7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25">
      <c r="A456" s="1"/>
      <c r="B456" s="9"/>
      <c r="C456" s="11"/>
      <c r="D456" s="1"/>
      <c r="E456" s="1"/>
      <c r="F456" s="1"/>
      <c r="G456" s="7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25">
      <c r="A457" s="1"/>
      <c r="B457" s="9"/>
      <c r="C457" s="11"/>
      <c r="D457" s="1"/>
      <c r="E457" s="1"/>
      <c r="F457" s="1"/>
      <c r="G457" s="7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25">
      <c r="A458" s="1"/>
      <c r="B458" s="9"/>
      <c r="C458" s="11"/>
      <c r="D458" s="1"/>
      <c r="E458" s="1"/>
      <c r="F458" s="1"/>
      <c r="G458" s="7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25">
      <c r="A459" s="1"/>
      <c r="B459" s="9"/>
      <c r="C459" s="11"/>
      <c r="D459" s="1"/>
      <c r="E459" s="1"/>
      <c r="F459" s="1"/>
      <c r="G459" s="7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25">
      <c r="A460" s="1"/>
      <c r="B460" s="9"/>
      <c r="C460" s="11"/>
      <c r="D460" s="1"/>
      <c r="E460" s="1"/>
      <c r="F460" s="1"/>
      <c r="G460" s="7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25">
      <c r="A461" s="1"/>
      <c r="B461" s="9"/>
      <c r="C461" s="11"/>
      <c r="D461" s="1"/>
      <c r="E461" s="1"/>
      <c r="F461" s="1"/>
      <c r="G461" s="7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25">
      <c r="A462" s="1"/>
      <c r="B462" s="9"/>
      <c r="C462" s="11"/>
      <c r="D462" s="1"/>
      <c r="E462" s="1"/>
      <c r="F462" s="1"/>
      <c r="G462" s="7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25">
      <c r="A463" s="1"/>
      <c r="B463" s="9"/>
      <c r="C463" s="11"/>
      <c r="D463" s="1"/>
      <c r="E463" s="1"/>
      <c r="F463" s="1"/>
      <c r="G463" s="7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25">
      <c r="A464" s="1"/>
      <c r="B464" s="9"/>
      <c r="C464" s="11"/>
      <c r="D464" s="1"/>
      <c r="E464" s="1"/>
      <c r="F464" s="1"/>
      <c r="G464" s="7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25">
      <c r="A465" s="1"/>
      <c r="B465" s="9"/>
      <c r="C465" s="11"/>
      <c r="D465" s="1"/>
      <c r="E465" s="1"/>
      <c r="F465" s="1"/>
      <c r="G465" s="7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25">
      <c r="A466" s="1"/>
      <c r="B466" s="9"/>
      <c r="C466" s="11"/>
      <c r="D466" s="1"/>
      <c r="E466" s="1"/>
      <c r="F466" s="1"/>
      <c r="G466" s="7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25">
      <c r="A467" s="1"/>
      <c r="B467" s="9"/>
      <c r="C467" s="11"/>
      <c r="D467" s="1"/>
      <c r="E467" s="1"/>
      <c r="F467" s="1"/>
      <c r="G467" s="7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25">
      <c r="A468" s="1"/>
      <c r="B468" s="9"/>
      <c r="C468" s="11"/>
      <c r="D468" s="1"/>
      <c r="E468" s="1"/>
      <c r="F468" s="1"/>
      <c r="G468" s="7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25">
      <c r="A469" s="1"/>
      <c r="B469" s="9"/>
      <c r="C469" s="11"/>
      <c r="D469" s="1"/>
      <c r="E469" s="1"/>
      <c r="F469" s="1"/>
      <c r="G469" s="7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25">
      <c r="A470" s="1"/>
      <c r="B470" s="9"/>
      <c r="C470" s="11"/>
      <c r="D470" s="1"/>
      <c r="E470" s="1"/>
      <c r="F470" s="1"/>
      <c r="G470" s="7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25">
      <c r="A471" s="1"/>
      <c r="B471" s="9"/>
      <c r="C471" s="11"/>
      <c r="D471" s="1"/>
      <c r="E471" s="1"/>
      <c r="F471" s="1"/>
      <c r="G471" s="7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25">
      <c r="A472" s="1"/>
      <c r="B472" s="9"/>
      <c r="C472" s="11"/>
      <c r="D472" s="1"/>
      <c r="E472" s="1"/>
      <c r="F472" s="1"/>
      <c r="G472" s="7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25">
      <c r="A473" s="1"/>
      <c r="B473" s="9"/>
      <c r="C473" s="11"/>
      <c r="D473" s="1"/>
      <c r="E473" s="1"/>
      <c r="F473" s="1"/>
      <c r="G473" s="7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25">
      <c r="A474" s="1"/>
      <c r="B474" s="9"/>
      <c r="C474" s="11"/>
      <c r="D474" s="1"/>
      <c r="E474" s="1"/>
      <c r="F474" s="1"/>
      <c r="G474" s="7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25">
      <c r="A475" s="1"/>
      <c r="B475" s="9"/>
      <c r="C475" s="11"/>
      <c r="D475" s="1"/>
      <c r="E475" s="1"/>
      <c r="F475" s="1"/>
      <c r="G475" s="7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25">
      <c r="A476" s="1"/>
      <c r="B476" s="9"/>
      <c r="C476" s="11"/>
      <c r="D476" s="1"/>
      <c r="E476" s="1"/>
      <c r="F476" s="1"/>
      <c r="G476" s="7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25">
      <c r="A477" s="1"/>
      <c r="B477" s="9"/>
      <c r="C477" s="11"/>
      <c r="D477" s="1"/>
      <c r="E477" s="1"/>
      <c r="F477" s="1"/>
      <c r="G477" s="7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25">
      <c r="A478" s="1"/>
      <c r="B478" s="9"/>
      <c r="C478" s="11"/>
      <c r="D478" s="1"/>
      <c r="E478" s="1"/>
      <c r="F478" s="1"/>
      <c r="G478" s="7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25">
      <c r="A479" s="1"/>
      <c r="B479" s="9"/>
      <c r="C479" s="11"/>
      <c r="D479" s="1"/>
      <c r="E479" s="1"/>
      <c r="F479" s="1"/>
      <c r="G479" s="7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25">
      <c r="A480" s="1"/>
      <c r="B480" s="9"/>
      <c r="C480" s="11"/>
      <c r="D480" s="1"/>
      <c r="E480" s="1"/>
      <c r="F480" s="1"/>
      <c r="G480" s="7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25">
      <c r="A481" s="1"/>
      <c r="B481" s="9"/>
      <c r="C481" s="11"/>
      <c r="D481" s="1"/>
      <c r="E481" s="1"/>
      <c r="F481" s="1"/>
      <c r="G481" s="7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25">
      <c r="A482" s="1"/>
      <c r="B482" s="9"/>
      <c r="C482" s="11"/>
      <c r="D482" s="1"/>
      <c r="E482" s="1"/>
      <c r="F482" s="1"/>
      <c r="G482" s="7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25">
      <c r="A483" s="1"/>
      <c r="B483" s="9"/>
      <c r="C483" s="11"/>
      <c r="D483" s="1"/>
      <c r="E483" s="1"/>
      <c r="F483" s="1"/>
      <c r="G483" s="7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25">
      <c r="A484" s="1"/>
      <c r="B484" s="9"/>
      <c r="C484" s="11"/>
      <c r="D484" s="1"/>
      <c r="E484" s="1"/>
      <c r="F484" s="1"/>
      <c r="G484" s="7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25">
      <c r="A485" s="1"/>
      <c r="B485" s="9"/>
      <c r="C485" s="11"/>
      <c r="D485" s="1"/>
      <c r="E485" s="1"/>
      <c r="F485" s="1"/>
      <c r="G485" s="7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25">
      <c r="A486" s="1"/>
      <c r="B486" s="9"/>
      <c r="C486" s="11"/>
      <c r="D486" s="1"/>
      <c r="E486" s="1"/>
      <c r="F486" s="1"/>
      <c r="G486" s="7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25">
      <c r="A487" s="1"/>
      <c r="B487" s="9"/>
      <c r="C487" s="11"/>
      <c r="D487" s="1"/>
      <c r="E487" s="1"/>
      <c r="F487" s="1"/>
      <c r="G487" s="7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25">
      <c r="A488" s="1"/>
      <c r="B488" s="9"/>
      <c r="C488" s="11"/>
      <c r="D488" s="1"/>
      <c r="E488" s="1"/>
      <c r="F488" s="1"/>
      <c r="G488" s="7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25">
      <c r="A489" s="1"/>
      <c r="B489" s="9"/>
      <c r="C489" s="11"/>
      <c r="D489" s="1"/>
      <c r="E489" s="1"/>
      <c r="F489" s="1"/>
      <c r="G489" s="7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25">
      <c r="A490" s="1"/>
      <c r="B490" s="9"/>
      <c r="C490" s="11"/>
      <c r="D490" s="1"/>
      <c r="E490" s="1"/>
      <c r="F490" s="1"/>
      <c r="G490" s="7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25">
      <c r="A491" s="1"/>
      <c r="B491" s="9"/>
      <c r="C491" s="11"/>
      <c r="D491" s="1"/>
      <c r="E491" s="1"/>
      <c r="F491" s="1"/>
      <c r="G491" s="7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25">
      <c r="A492" s="1"/>
      <c r="B492" s="9"/>
      <c r="C492" s="11"/>
      <c r="D492" s="1"/>
      <c r="E492" s="1"/>
      <c r="F492" s="1"/>
      <c r="G492" s="7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25">
      <c r="A493" s="1"/>
      <c r="B493" s="9"/>
      <c r="C493" s="11"/>
      <c r="D493" s="1"/>
      <c r="E493" s="1"/>
      <c r="F493" s="1"/>
      <c r="G493" s="7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25">
      <c r="A494" s="1"/>
      <c r="B494" s="9"/>
      <c r="C494" s="11"/>
      <c r="D494" s="1"/>
      <c r="E494" s="1"/>
      <c r="F494" s="1"/>
      <c r="G494" s="7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25">
      <c r="A495" s="1"/>
      <c r="B495" s="9"/>
      <c r="C495" s="11"/>
      <c r="D495" s="1"/>
      <c r="E495" s="1"/>
      <c r="F495" s="1"/>
      <c r="G495" s="7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25">
      <c r="A496" s="1"/>
      <c r="B496" s="9"/>
      <c r="C496" s="11"/>
      <c r="D496" s="1"/>
      <c r="E496" s="1"/>
      <c r="F496" s="1"/>
      <c r="G496" s="7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25">
      <c r="A497" s="1"/>
      <c r="B497" s="9"/>
      <c r="C497" s="11"/>
      <c r="D497" s="1"/>
      <c r="E497" s="1"/>
      <c r="F497" s="1"/>
      <c r="G497" s="7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25">
      <c r="A498" s="1"/>
      <c r="B498" s="9"/>
      <c r="C498" s="11"/>
      <c r="D498" s="1"/>
      <c r="E498" s="1"/>
      <c r="F498" s="1"/>
      <c r="G498" s="7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25">
      <c r="A499" s="1"/>
      <c r="B499" s="9"/>
      <c r="C499" s="11"/>
      <c r="D499" s="1"/>
      <c r="E499" s="1"/>
      <c r="F499" s="1"/>
      <c r="G499" s="7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25">
      <c r="A500" s="1"/>
      <c r="B500" s="9"/>
      <c r="C500" s="11"/>
      <c r="D500" s="1"/>
      <c r="E500" s="1"/>
      <c r="F500" s="1"/>
      <c r="G500" s="7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25">
      <c r="A501" s="1"/>
      <c r="B501" s="9"/>
      <c r="C501" s="11"/>
      <c r="D501" s="1"/>
      <c r="E501" s="1"/>
      <c r="F501" s="1"/>
      <c r="G501" s="7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25">
      <c r="A502" s="1"/>
      <c r="B502" s="9"/>
      <c r="C502" s="11"/>
      <c r="D502" s="1"/>
      <c r="E502" s="1"/>
      <c r="F502" s="1"/>
      <c r="G502" s="7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25">
      <c r="A503" s="1"/>
      <c r="B503" s="9"/>
      <c r="C503" s="11"/>
      <c r="D503" s="1"/>
      <c r="E503" s="1"/>
      <c r="F503" s="1"/>
      <c r="G503" s="7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25">
      <c r="A504" s="1"/>
      <c r="B504" s="9"/>
      <c r="C504" s="11"/>
      <c r="D504" s="1"/>
      <c r="E504" s="1"/>
      <c r="F504" s="1"/>
      <c r="G504" s="7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25">
      <c r="A505" s="1"/>
      <c r="B505" s="9"/>
      <c r="C505" s="11"/>
      <c r="D505" s="1"/>
      <c r="E505" s="1"/>
      <c r="F505" s="1"/>
      <c r="G505" s="7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25">
      <c r="A506" s="1"/>
      <c r="B506" s="9"/>
      <c r="C506" s="11"/>
      <c r="D506" s="1"/>
      <c r="E506" s="1"/>
      <c r="F506" s="1"/>
      <c r="G506" s="7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25">
      <c r="A507" s="1"/>
      <c r="B507" s="9"/>
      <c r="C507" s="11"/>
      <c r="D507" s="1"/>
      <c r="E507" s="1"/>
      <c r="F507" s="1"/>
      <c r="G507" s="7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25">
      <c r="A508" s="1"/>
      <c r="B508" s="9"/>
      <c r="C508" s="11"/>
      <c r="D508" s="1"/>
      <c r="E508" s="1"/>
      <c r="F508" s="1"/>
      <c r="G508" s="7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25">
      <c r="A509" s="1"/>
      <c r="B509" s="9"/>
      <c r="C509" s="11"/>
      <c r="D509" s="1"/>
      <c r="E509" s="1"/>
      <c r="F509" s="1"/>
      <c r="G509" s="7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25">
      <c r="A510" s="1"/>
      <c r="B510" s="9"/>
      <c r="C510" s="11"/>
      <c r="D510" s="1"/>
      <c r="E510" s="1"/>
      <c r="F510" s="1"/>
      <c r="G510" s="7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25">
      <c r="A511" s="1"/>
      <c r="B511" s="9"/>
      <c r="C511" s="11"/>
      <c r="D511" s="1"/>
      <c r="E511" s="1"/>
      <c r="F511" s="1"/>
      <c r="G511" s="7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25">
      <c r="A512" s="1"/>
      <c r="B512" s="9"/>
      <c r="C512" s="11"/>
      <c r="D512" s="1"/>
      <c r="E512" s="1"/>
      <c r="F512" s="1"/>
      <c r="G512" s="7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25">
      <c r="A513" s="1"/>
      <c r="B513" s="9"/>
      <c r="C513" s="11"/>
      <c r="D513" s="1"/>
      <c r="E513" s="1"/>
      <c r="F513" s="1"/>
      <c r="G513" s="7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25">
      <c r="A514" s="1"/>
      <c r="B514" s="9"/>
      <c r="C514" s="11"/>
      <c r="D514" s="1"/>
      <c r="E514" s="1"/>
      <c r="F514" s="1"/>
      <c r="G514" s="7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25">
      <c r="A515" s="1"/>
      <c r="B515" s="9"/>
      <c r="C515" s="11"/>
      <c r="D515" s="1"/>
      <c r="E515" s="1"/>
      <c r="F515" s="1"/>
      <c r="G515" s="7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25">
      <c r="A516" s="1"/>
      <c r="B516" s="9"/>
      <c r="C516" s="11"/>
      <c r="D516" s="1"/>
      <c r="E516" s="1"/>
      <c r="F516" s="1"/>
      <c r="G516" s="7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25">
      <c r="A517" s="1"/>
      <c r="B517" s="9"/>
      <c r="C517" s="11"/>
      <c r="D517" s="1"/>
      <c r="E517" s="1"/>
      <c r="F517" s="1"/>
      <c r="G517" s="7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25">
      <c r="A518" s="1"/>
      <c r="B518" s="9"/>
      <c r="C518" s="11"/>
      <c r="D518" s="1"/>
      <c r="E518" s="1"/>
      <c r="F518" s="1"/>
      <c r="G518" s="7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25">
      <c r="A519" s="1"/>
      <c r="B519" s="9"/>
      <c r="C519" s="11"/>
      <c r="D519" s="1"/>
      <c r="E519" s="1"/>
      <c r="F519" s="1"/>
      <c r="G519" s="7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25">
      <c r="A520" s="1"/>
      <c r="B520" s="9"/>
      <c r="C520" s="11"/>
      <c r="D520" s="1"/>
      <c r="E520" s="1"/>
      <c r="F520" s="1"/>
      <c r="G520" s="7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25">
      <c r="A521" s="1"/>
      <c r="B521" s="9"/>
      <c r="C521" s="11"/>
      <c r="D521" s="1"/>
      <c r="E521" s="1"/>
      <c r="F521" s="1"/>
      <c r="G521" s="7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25">
      <c r="A522" s="1"/>
      <c r="B522" s="9"/>
      <c r="C522" s="11"/>
      <c r="D522" s="1"/>
      <c r="E522" s="1"/>
      <c r="F522" s="1"/>
      <c r="G522" s="7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25">
      <c r="A523" s="1"/>
      <c r="B523" s="9"/>
      <c r="C523" s="11"/>
      <c r="D523" s="1"/>
      <c r="E523" s="1"/>
      <c r="F523" s="1"/>
      <c r="G523" s="7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25">
      <c r="A524" s="1"/>
      <c r="B524" s="9"/>
      <c r="C524" s="11"/>
      <c r="D524" s="1"/>
      <c r="E524" s="1"/>
      <c r="F524" s="1"/>
      <c r="G524" s="7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25">
      <c r="A525" s="1"/>
      <c r="B525" s="9"/>
      <c r="C525" s="11"/>
      <c r="D525" s="1"/>
      <c r="E525" s="1"/>
      <c r="F525" s="1"/>
      <c r="G525" s="7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25">
      <c r="A526" s="1"/>
      <c r="B526" s="9"/>
      <c r="C526" s="11"/>
      <c r="D526" s="1"/>
      <c r="E526" s="1"/>
      <c r="F526" s="1"/>
      <c r="G526" s="7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25">
      <c r="A527" s="1"/>
      <c r="B527" s="9"/>
      <c r="C527" s="11"/>
      <c r="D527" s="1"/>
      <c r="E527" s="1"/>
      <c r="F527" s="1"/>
      <c r="G527" s="7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25">
      <c r="A528" s="1"/>
      <c r="B528" s="9"/>
      <c r="C528" s="11"/>
      <c r="D528" s="1"/>
      <c r="E528" s="1"/>
      <c r="F528" s="1"/>
      <c r="G528" s="7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25">
      <c r="A529" s="1"/>
      <c r="B529" s="9"/>
      <c r="C529" s="11"/>
      <c r="D529" s="1"/>
      <c r="E529" s="1"/>
      <c r="F529" s="1"/>
      <c r="G529" s="7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25">
      <c r="A530" s="1"/>
      <c r="B530" s="9"/>
      <c r="C530" s="11"/>
      <c r="D530" s="1"/>
      <c r="E530" s="1"/>
      <c r="F530" s="1"/>
      <c r="G530" s="7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25">
      <c r="A531" s="1"/>
      <c r="B531" s="9"/>
      <c r="C531" s="11"/>
      <c r="D531" s="1"/>
      <c r="E531" s="1"/>
      <c r="F531" s="1"/>
      <c r="G531" s="7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25">
      <c r="A532" s="1"/>
      <c r="B532" s="9"/>
      <c r="C532" s="11"/>
      <c r="D532" s="1"/>
      <c r="E532" s="1"/>
      <c r="F532" s="1"/>
      <c r="G532" s="7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25">
      <c r="A533" s="1"/>
      <c r="B533" s="9"/>
      <c r="C533" s="11"/>
      <c r="D533" s="1"/>
      <c r="E533" s="1"/>
      <c r="F533" s="1"/>
      <c r="G533" s="7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25">
      <c r="A534" s="1"/>
      <c r="B534" s="9"/>
      <c r="C534" s="11"/>
      <c r="D534" s="1"/>
      <c r="E534" s="1"/>
      <c r="F534" s="1"/>
      <c r="G534" s="7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25">
      <c r="A535" s="1"/>
      <c r="B535" s="9"/>
      <c r="C535" s="11"/>
      <c r="D535" s="1"/>
      <c r="E535" s="1"/>
      <c r="F535" s="1"/>
      <c r="G535" s="7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25">
      <c r="A536" s="1"/>
      <c r="B536" s="9"/>
      <c r="C536" s="11"/>
      <c r="D536" s="1"/>
      <c r="E536" s="1"/>
      <c r="F536" s="1"/>
      <c r="G536" s="7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25">
      <c r="A537" s="1"/>
      <c r="B537" s="9"/>
      <c r="C537" s="11"/>
      <c r="D537" s="1"/>
      <c r="E537" s="1"/>
      <c r="F537" s="1"/>
      <c r="G537" s="7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25">
      <c r="A538" s="1"/>
      <c r="B538" s="9"/>
      <c r="C538" s="11"/>
      <c r="D538" s="1"/>
      <c r="E538" s="1"/>
      <c r="F538" s="1"/>
      <c r="G538" s="7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25">
      <c r="A539" s="1"/>
      <c r="B539" s="9"/>
      <c r="C539" s="11"/>
      <c r="D539" s="1"/>
      <c r="E539" s="1"/>
      <c r="F539" s="1"/>
      <c r="G539" s="7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25">
      <c r="A540" s="1"/>
      <c r="B540" s="9"/>
      <c r="C540" s="11"/>
      <c r="D540" s="1"/>
      <c r="E540" s="1"/>
      <c r="F540" s="1"/>
      <c r="G540" s="7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25">
      <c r="A541" s="1"/>
      <c r="B541" s="9"/>
      <c r="C541" s="11"/>
      <c r="D541" s="1"/>
      <c r="E541" s="1"/>
      <c r="F541" s="1"/>
      <c r="G541" s="7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25">
      <c r="A542" s="1"/>
      <c r="B542" s="9"/>
      <c r="C542" s="11"/>
      <c r="D542" s="1"/>
      <c r="E542" s="1"/>
      <c r="F542" s="1"/>
      <c r="G542" s="7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25">
      <c r="A543" s="1"/>
      <c r="B543" s="9"/>
      <c r="C543" s="11"/>
      <c r="D543" s="1"/>
      <c r="E543" s="1"/>
      <c r="F543" s="1"/>
      <c r="G543" s="7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25">
      <c r="A544" s="1"/>
      <c r="B544" s="9"/>
      <c r="C544" s="11"/>
      <c r="D544" s="1"/>
      <c r="E544" s="1"/>
      <c r="F544" s="1"/>
      <c r="G544" s="7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25">
      <c r="A545" s="1"/>
      <c r="B545" s="9"/>
      <c r="C545" s="11"/>
      <c r="D545" s="1"/>
      <c r="E545" s="1"/>
      <c r="F545" s="1"/>
      <c r="G545" s="7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25">
      <c r="A546" s="1"/>
      <c r="B546" s="9"/>
      <c r="C546" s="11"/>
      <c r="D546" s="1"/>
      <c r="E546" s="1"/>
      <c r="F546" s="1"/>
      <c r="G546" s="7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25">
      <c r="A547" s="1"/>
      <c r="B547" s="9"/>
      <c r="C547" s="11"/>
      <c r="D547" s="1"/>
      <c r="E547" s="1"/>
      <c r="F547" s="1"/>
      <c r="G547" s="7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25">
      <c r="A548" s="1"/>
      <c r="B548" s="9"/>
      <c r="C548" s="11"/>
      <c r="D548" s="1"/>
      <c r="E548" s="1"/>
      <c r="F548" s="1"/>
      <c r="G548" s="7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25">
      <c r="A549" s="1"/>
      <c r="B549" s="9"/>
      <c r="C549" s="11"/>
      <c r="D549" s="1"/>
      <c r="E549" s="1"/>
      <c r="F549" s="1"/>
      <c r="G549" s="7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25">
      <c r="A550" s="1"/>
      <c r="B550" s="9"/>
      <c r="C550" s="11"/>
      <c r="D550" s="1"/>
      <c r="E550" s="1"/>
      <c r="F550" s="1"/>
      <c r="G550" s="7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25">
      <c r="A551" s="1"/>
      <c r="B551" s="9"/>
      <c r="C551" s="11"/>
      <c r="D551" s="1"/>
      <c r="E551" s="1"/>
      <c r="F551" s="1"/>
      <c r="G551" s="7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25">
      <c r="A552" s="1"/>
      <c r="B552" s="9"/>
      <c r="C552" s="11"/>
      <c r="D552" s="1"/>
      <c r="E552" s="1"/>
      <c r="F552" s="1"/>
      <c r="G552" s="7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25">
      <c r="A553" s="1"/>
      <c r="B553" s="9"/>
      <c r="C553" s="11"/>
      <c r="D553" s="1"/>
      <c r="E553" s="1"/>
      <c r="F553" s="1"/>
      <c r="G553" s="7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25">
      <c r="A554" s="1"/>
      <c r="B554" s="9"/>
      <c r="C554" s="11"/>
      <c r="D554" s="1"/>
      <c r="E554" s="1"/>
      <c r="F554" s="1"/>
      <c r="G554" s="7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25">
      <c r="A555" s="1"/>
      <c r="B555" s="9"/>
      <c r="C555" s="11"/>
      <c r="D555" s="1"/>
      <c r="E555" s="1"/>
      <c r="F555" s="1"/>
      <c r="G555" s="7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25">
      <c r="A556" s="1"/>
      <c r="B556" s="9"/>
      <c r="C556" s="11"/>
      <c r="D556" s="1"/>
      <c r="E556" s="1"/>
      <c r="F556" s="1"/>
      <c r="G556" s="7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25">
      <c r="A557" s="1"/>
      <c r="B557" s="9"/>
      <c r="C557" s="11"/>
      <c r="D557" s="1"/>
      <c r="E557" s="1"/>
      <c r="F557" s="1"/>
      <c r="G557" s="7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25">
      <c r="A558" s="1"/>
      <c r="B558" s="9"/>
      <c r="C558" s="11"/>
      <c r="D558" s="1"/>
      <c r="E558" s="1"/>
      <c r="F558" s="1"/>
      <c r="G558" s="7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25">
      <c r="A559" s="1"/>
      <c r="B559" s="9"/>
      <c r="C559" s="11"/>
      <c r="D559" s="1"/>
      <c r="E559" s="1"/>
      <c r="F559" s="1"/>
      <c r="G559" s="7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25">
      <c r="A560" s="1"/>
      <c r="B560" s="9"/>
      <c r="C560" s="11"/>
      <c r="D560" s="1"/>
      <c r="E560" s="1"/>
      <c r="F560" s="1"/>
      <c r="G560" s="7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25">
      <c r="A561" s="1"/>
      <c r="B561" s="9"/>
      <c r="C561" s="11"/>
      <c r="D561" s="1"/>
      <c r="E561" s="1"/>
      <c r="F561" s="1"/>
      <c r="G561" s="7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25">
      <c r="A562" s="1"/>
      <c r="B562" s="9"/>
      <c r="C562" s="11"/>
      <c r="D562" s="1"/>
      <c r="E562" s="1"/>
      <c r="F562" s="1"/>
      <c r="G562" s="7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25">
      <c r="A563" s="1"/>
      <c r="B563" s="9"/>
      <c r="C563" s="11"/>
      <c r="D563" s="1"/>
      <c r="E563" s="1"/>
      <c r="F563" s="1"/>
      <c r="G563" s="7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25">
      <c r="A564" s="1"/>
      <c r="B564" s="9"/>
      <c r="C564" s="11"/>
      <c r="D564" s="1"/>
      <c r="E564" s="1"/>
      <c r="F564" s="1"/>
      <c r="G564" s="7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25">
      <c r="A565" s="1"/>
      <c r="B565" s="9"/>
      <c r="C565" s="11"/>
      <c r="D565" s="1"/>
      <c r="E565" s="1"/>
      <c r="F565" s="1"/>
      <c r="G565" s="7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25">
      <c r="A566" s="1"/>
      <c r="B566" s="9"/>
      <c r="C566" s="11"/>
      <c r="D566" s="1"/>
      <c r="E566" s="1"/>
      <c r="F566" s="1"/>
      <c r="G566" s="7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25">
      <c r="A567" s="1"/>
      <c r="B567" s="9"/>
      <c r="C567" s="11"/>
      <c r="D567" s="1"/>
      <c r="E567" s="1"/>
      <c r="F567" s="1"/>
      <c r="G567" s="7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25">
      <c r="A568" s="1"/>
      <c r="B568" s="9"/>
      <c r="C568" s="11"/>
      <c r="D568" s="1"/>
      <c r="E568" s="1"/>
      <c r="F568" s="1"/>
      <c r="G568" s="7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25">
      <c r="A569" s="1"/>
      <c r="B569" s="9"/>
      <c r="C569" s="11"/>
      <c r="D569" s="1"/>
      <c r="E569" s="1"/>
      <c r="F569" s="1"/>
      <c r="G569" s="7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25">
      <c r="A570" s="1"/>
      <c r="B570" s="9"/>
      <c r="C570" s="11"/>
      <c r="D570" s="1"/>
      <c r="E570" s="1"/>
      <c r="F570" s="1"/>
      <c r="G570" s="7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25">
      <c r="A571" s="1"/>
      <c r="B571" s="9"/>
      <c r="C571" s="11"/>
      <c r="D571" s="1"/>
      <c r="E571" s="1"/>
      <c r="F571" s="1"/>
      <c r="G571" s="7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25">
      <c r="A572" s="1"/>
      <c r="B572" s="9"/>
      <c r="C572" s="11"/>
      <c r="D572" s="1"/>
      <c r="E572" s="1"/>
      <c r="F572" s="1"/>
      <c r="G572" s="7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25">
      <c r="A573" s="1"/>
      <c r="B573" s="9"/>
      <c r="C573" s="11"/>
      <c r="D573" s="1"/>
      <c r="E573" s="1"/>
      <c r="F573" s="1"/>
      <c r="G573" s="7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25">
      <c r="A574" s="1"/>
      <c r="B574" s="9"/>
      <c r="C574" s="11"/>
      <c r="D574" s="1"/>
      <c r="E574" s="1"/>
      <c r="F574" s="1"/>
      <c r="G574" s="7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25">
      <c r="A575" s="1"/>
      <c r="B575" s="9"/>
      <c r="C575" s="11"/>
      <c r="D575" s="1"/>
      <c r="E575" s="1"/>
      <c r="F575" s="1"/>
      <c r="G575" s="7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25">
      <c r="A576" s="1"/>
      <c r="B576" s="9"/>
      <c r="C576" s="11"/>
      <c r="D576" s="1"/>
      <c r="E576" s="1"/>
      <c r="F576" s="1"/>
      <c r="G576" s="7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25">
      <c r="A577" s="1"/>
      <c r="B577" s="9"/>
      <c r="C577" s="11"/>
      <c r="D577" s="1"/>
      <c r="E577" s="1"/>
      <c r="F577" s="1"/>
      <c r="G577" s="7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25">
      <c r="A578" s="1"/>
      <c r="B578" s="9"/>
      <c r="C578" s="11"/>
      <c r="D578" s="1"/>
      <c r="E578" s="1"/>
      <c r="F578" s="1"/>
      <c r="G578" s="7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25">
      <c r="A579" s="1"/>
      <c r="B579" s="9"/>
      <c r="C579" s="11"/>
      <c r="D579" s="1"/>
      <c r="E579" s="1"/>
      <c r="F579" s="1"/>
      <c r="G579" s="7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25">
      <c r="A580" s="1"/>
      <c r="B580" s="9"/>
      <c r="C580" s="11"/>
      <c r="D580" s="1"/>
      <c r="E580" s="1"/>
      <c r="F580" s="1"/>
      <c r="G580" s="7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25">
      <c r="A581" s="1"/>
      <c r="B581" s="9"/>
      <c r="C581" s="11"/>
      <c r="D581" s="1"/>
      <c r="E581" s="1"/>
      <c r="F581" s="1"/>
      <c r="G581" s="7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25">
      <c r="A582" s="1"/>
      <c r="B582" s="9"/>
      <c r="C582" s="11"/>
      <c r="D582" s="1"/>
      <c r="E582" s="1"/>
      <c r="F582" s="1"/>
      <c r="G582" s="7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25">
      <c r="A583" s="1"/>
      <c r="B583" s="9"/>
      <c r="C583" s="11"/>
      <c r="D583" s="1"/>
      <c r="E583" s="1"/>
      <c r="F583" s="1"/>
      <c r="G583" s="7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25">
      <c r="A584" s="1"/>
      <c r="B584" s="9"/>
      <c r="C584" s="11"/>
      <c r="D584" s="1"/>
      <c r="E584" s="1"/>
      <c r="F584" s="1"/>
      <c r="G584" s="7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25">
      <c r="A585" s="1"/>
      <c r="B585" s="9"/>
      <c r="C585" s="11"/>
      <c r="D585" s="1"/>
      <c r="E585" s="1"/>
      <c r="F585" s="1"/>
      <c r="G585" s="7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25">
      <c r="A586" s="1"/>
      <c r="B586" s="9"/>
      <c r="C586" s="11"/>
      <c r="D586" s="1"/>
      <c r="E586" s="1"/>
      <c r="F586" s="1"/>
      <c r="G586" s="7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25">
      <c r="A587" s="1"/>
      <c r="B587" s="9"/>
      <c r="C587" s="11"/>
      <c r="D587" s="1"/>
      <c r="E587" s="1"/>
      <c r="F587" s="1"/>
      <c r="G587" s="7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25">
      <c r="A588" s="1"/>
      <c r="B588" s="9"/>
      <c r="C588" s="11"/>
      <c r="D588" s="1"/>
      <c r="E588" s="1"/>
      <c r="F588" s="1"/>
      <c r="G588" s="7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25">
      <c r="A589" s="1"/>
      <c r="B589" s="9"/>
      <c r="C589" s="11"/>
      <c r="D589" s="1"/>
      <c r="E589" s="1"/>
      <c r="F589" s="1"/>
      <c r="G589" s="7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25">
      <c r="A590" s="1"/>
      <c r="B590" s="9"/>
      <c r="C590" s="11"/>
      <c r="D590" s="1"/>
      <c r="E590" s="1"/>
      <c r="F590" s="1"/>
      <c r="G590" s="7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25">
      <c r="A591" s="1"/>
      <c r="B591" s="9"/>
      <c r="C591" s="11"/>
      <c r="D591" s="1"/>
      <c r="E591" s="1"/>
      <c r="F591" s="1"/>
      <c r="G591" s="7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25">
      <c r="A592" s="1"/>
      <c r="B592" s="9"/>
      <c r="C592" s="11"/>
      <c r="D592" s="1"/>
      <c r="E592" s="1"/>
      <c r="F592" s="1"/>
      <c r="G592" s="7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25">
      <c r="A593" s="1"/>
      <c r="B593" s="9"/>
      <c r="C593" s="11"/>
      <c r="D593" s="1"/>
      <c r="E593" s="1"/>
      <c r="F593" s="1"/>
      <c r="G593" s="7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25">
      <c r="A594" s="1"/>
      <c r="B594" s="9"/>
      <c r="C594" s="11"/>
      <c r="D594" s="1"/>
      <c r="E594" s="1"/>
      <c r="F594" s="1"/>
      <c r="G594" s="7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25">
      <c r="A595" s="1"/>
      <c r="B595" s="9"/>
      <c r="C595" s="11"/>
      <c r="D595" s="1"/>
      <c r="E595" s="1"/>
      <c r="F595" s="1"/>
      <c r="G595" s="7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25">
      <c r="A596" s="1"/>
      <c r="B596" s="9"/>
      <c r="C596" s="11"/>
      <c r="D596" s="1"/>
      <c r="E596" s="1"/>
      <c r="F596" s="1"/>
      <c r="G596" s="7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25">
      <c r="A597" s="1"/>
      <c r="B597" s="9"/>
      <c r="C597" s="11"/>
      <c r="D597" s="1"/>
      <c r="E597" s="1"/>
      <c r="F597" s="1"/>
      <c r="G597" s="7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25">
      <c r="A598" s="1"/>
      <c r="B598" s="9"/>
      <c r="C598" s="11"/>
      <c r="D598" s="1"/>
      <c r="E598" s="1"/>
      <c r="F598" s="1"/>
      <c r="G598" s="7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25">
      <c r="A599" s="1"/>
      <c r="B599" s="9"/>
      <c r="C599" s="11"/>
      <c r="D599" s="1"/>
      <c r="E599" s="1"/>
      <c r="F599" s="1"/>
      <c r="G599" s="7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25">
      <c r="A600" s="1"/>
      <c r="B600" s="9"/>
      <c r="C600" s="11"/>
      <c r="D600" s="1"/>
      <c r="E600" s="1"/>
      <c r="F600" s="1"/>
      <c r="G600" s="7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25">
      <c r="A601" s="1"/>
      <c r="B601" s="9"/>
      <c r="C601" s="11"/>
      <c r="D601" s="1"/>
      <c r="E601" s="1"/>
      <c r="F601" s="1"/>
      <c r="G601" s="7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25">
      <c r="A602" s="1"/>
      <c r="B602" s="9"/>
      <c r="C602" s="11"/>
      <c r="D602" s="1"/>
      <c r="E602" s="1"/>
      <c r="F602" s="1"/>
      <c r="G602" s="7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25">
      <c r="A603" s="1"/>
      <c r="B603" s="9"/>
      <c r="C603" s="11"/>
      <c r="D603" s="1"/>
      <c r="E603" s="1"/>
      <c r="F603" s="1"/>
      <c r="G603" s="7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25">
      <c r="A604" s="1"/>
      <c r="B604" s="9"/>
      <c r="C604" s="11"/>
      <c r="D604" s="1"/>
      <c r="E604" s="1"/>
      <c r="F604" s="1"/>
      <c r="G604" s="7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25">
      <c r="A605" s="1"/>
      <c r="B605" s="9"/>
      <c r="C605" s="11"/>
      <c r="D605" s="1"/>
      <c r="E605" s="1"/>
      <c r="F605" s="1"/>
      <c r="G605" s="7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25">
      <c r="A606" s="1"/>
      <c r="B606" s="9"/>
      <c r="C606" s="11"/>
      <c r="D606" s="1"/>
      <c r="E606" s="1"/>
      <c r="F606" s="1"/>
      <c r="G606" s="7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25">
      <c r="A607" s="1"/>
      <c r="B607" s="9"/>
      <c r="C607" s="11"/>
      <c r="D607" s="1"/>
      <c r="E607" s="1"/>
      <c r="F607" s="1"/>
      <c r="G607" s="7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25">
      <c r="A608" s="1"/>
      <c r="B608" s="9"/>
      <c r="C608" s="11"/>
      <c r="D608" s="1"/>
      <c r="E608" s="1"/>
      <c r="F608" s="1"/>
      <c r="G608" s="7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25">
      <c r="A609" s="1"/>
      <c r="B609" s="9"/>
      <c r="C609" s="11"/>
      <c r="D609" s="1"/>
      <c r="E609" s="1"/>
      <c r="F609" s="1"/>
      <c r="G609" s="7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25">
      <c r="A610" s="1"/>
      <c r="B610" s="9"/>
      <c r="C610" s="11"/>
      <c r="D610" s="1"/>
      <c r="E610" s="1"/>
      <c r="F610" s="1"/>
      <c r="G610" s="7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25">
      <c r="A611" s="1"/>
      <c r="B611" s="9"/>
      <c r="C611" s="11"/>
      <c r="D611" s="1"/>
      <c r="E611" s="1"/>
      <c r="F611" s="1"/>
      <c r="G611" s="7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25">
      <c r="A612" s="1"/>
      <c r="B612" s="9"/>
      <c r="C612" s="11"/>
      <c r="D612" s="1"/>
      <c r="E612" s="1"/>
      <c r="F612" s="1"/>
      <c r="G612" s="7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25">
      <c r="A613" s="1"/>
      <c r="B613" s="9"/>
      <c r="C613" s="11"/>
      <c r="D613" s="1"/>
      <c r="E613" s="1"/>
      <c r="F613" s="1"/>
      <c r="G613" s="7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25">
      <c r="A614" s="1"/>
      <c r="B614" s="9"/>
      <c r="C614" s="11"/>
      <c r="D614" s="1"/>
      <c r="E614" s="1"/>
      <c r="F614" s="1"/>
      <c r="G614" s="7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25">
      <c r="A615" s="1"/>
      <c r="B615" s="9"/>
      <c r="C615" s="11"/>
      <c r="D615" s="1"/>
      <c r="E615" s="1"/>
      <c r="F615" s="1"/>
      <c r="G615" s="7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25">
      <c r="A616" s="1"/>
      <c r="B616" s="9"/>
      <c r="C616" s="11"/>
      <c r="D616" s="1"/>
      <c r="E616" s="1"/>
      <c r="F616" s="1"/>
      <c r="G616" s="7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25">
      <c r="A617" s="1"/>
      <c r="B617" s="9"/>
      <c r="C617" s="11"/>
      <c r="D617" s="1"/>
      <c r="E617" s="1"/>
      <c r="F617" s="1"/>
      <c r="G617" s="7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25">
      <c r="A618" s="1"/>
      <c r="B618" s="9"/>
      <c r="C618" s="11"/>
      <c r="D618" s="1"/>
      <c r="E618" s="1"/>
      <c r="F618" s="1"/>
      <c r="G618" s="7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25">
      <c r="A619" s="1"/>
      <c r="B619" s="9"/>
      <c r="C619" s="11"/>
      <c r="D619" s="1"/>
      <c r="E619" s="1"/>
      <c r="F619" s="1"/>
      <c r="G619" s="7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25">
      <c r="A620" s="1"/>
      <c r="B620" s="9"/>
      <c r="C620" s="11"/>
      <c r="D620" s="1"/>
      <c r="E620" s="1"/>
      <c r="F620" s="1"/>
      <c r="G620" s="7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25">
      <c r="A621" s="1"/>
      <c r="B621" s="9"/>
      <c r="C621" s="11"/>
      <c r="D621" s="1"/>
      <c r="E621" s="1"/>
      <c r="F621" s="1"/>
      <c r="G621" s="7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25">
      <c r="A622" s="1"/>
      <c r="B622" s="9"/>
      <c r="C622" s="11"/>
      <c r="D622" s="1"/>
      <c r="E622" s="1"/>
      <c r="F622" s="1"/>
      <c r="G622" s="7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25">
      <c r="A623" s="1"/>
      <c r="B623" s="9"/>
      <c r="C623" s="11"/>
      <c r="D623" s="1"/>
      <c r="E623" s="1"/>
      <c r="F623" s="1"/>
      <c r="G623" s="7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25">
      <c r="A624" s="1"/>
      <c r="B624" s="9"/>
      <c r="C624" s="11"/>
      <c r="D624" s="1"/>
      <c r="E624" s="1"/>
      <c r="F624" s="1"/>
      <c r="G624" s="7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25">
      <c r="A625" s="1"/>
      <c r="B625" s="9"/>
      <c r="C625" s="11"/>
      <c r="D625" s="1"/>
      <c r="E625" s="1"/>
      <c r="F625" s="1"/>
      <c r="G625" s="7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25">
      <c r="A626" s="1"/>
      <c r="B626" s="9"/>
      <c r="C626" s="11"/>
      <c r="D626" s="1"/>
      <c r="E626" s="1"/>
      <c r="F626" s="1"/>
      <c r="G626" s="7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25">
      <c r="A627" s="1"/>
      <c r="B627" s="9"/>
      <c r="C627" s="11"/>
      <c r="D627" s="1"/>
      <c r="E627" s="1"/>
      <c r="F627" s="1"/>
      <c r="G627" s="7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25">
      <c r="A628" s="1"/>
      <c r="B628" s="9"/>
      <c r="C628" s="11"/>
      <c r="D628" s="1"/>
      <c r="E628" s="1"/>
      <c r="F628" s="1"/>
      <c r="G628" s="7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25">
      <c r="A629" s="1"/>
      <c r="B629" s="9"/>
      <c r="C629" s="11"/>
      <c r="D629" s="1"/>
      <c r="E629" s="1"/>
      <c r="F629" s="1"/>
      <c r="G629" s="7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25">
      <c r="A630" s="1"/>
      <c r="B630" s="9"/>
      <c r="C630" s="11"/>
      <c r="D630" s="1"/>
      <c r="E630" s="1"/>
      <c r="F630" s="1"/>
      <c r="G630" s="7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25">
      <c r="A631" s="1"/>
      <c r="B631" s="9"/>
      <c r="C631" s="11"/>
      <c r="D631" s="1"/>
      <c r="E631" s="1"/>
      <c r="F631" s="1"/>
      <c r="G631" s="7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25">
      <c r="A632" s="1"/>
      <c r="B632" s="9"/>
      <c r="C632" s="11"/>
      <c r="D632" s="1"/>
      <c r="E632" s="1"/>
      <c r="F632" s="1"/>
      <c r="G632" s="7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25">
      <c r="A633" s="1"/>
      <c r="B633" s="9"/>
      <c r="C633" s="11"/>
      <c r="D633" s="1"/>
      <c r="E633" s="1"/>
      <c r="F633" s="1"/>
      <c r="G633" s="7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25">
      <c r="A634" s="1"/>
      <c r="B634" s="9"/>
      <c r="C634" s="11"/>
      <c r="D634" s="1"/>
      <c r="E634" s="1"/>
      <c r="F634" s="1"/>
      <c r="G634" s="7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25">
      <c r="A635" s="1"/>
      <c r="B635" s="9"/>
      <c r="C635" s="11"/>
      <c r="D635" s="1"/>
      <c r="E635" s="1"/>
      <c r="F635" s="1"/>
      <c r="G635" s="7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25">
      <c r="A636" s="1"/>
      <c r="B636" s="9"/>
      <c r="C636" s="11"/>
      <c r="D636" s="1"/>
      <c r="E636" s="1"/>
      <c r="F636" s="1"/>
      <c r="G636" s="7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25">
      <c r="A637" s="1"/>
      <c r="B637" s="9"/>
      <c r="C637" s="11"/>
      <c r="D637" s="1"/>
      <c r="E637" s="1"/>
      <c r="F637" s="1"/>
      <c r="G637" s="7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25">
      <c r="A638" s="1"/>
      <c r="B638" s="9"/>
      <c r="C638" s="11"/>
      <c r="D638" s="1"/>
      <c r="E638" s="1"/>
      <c r="F638" s="1"/>
      <c r="G638" s="7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25">
      <c r="A639" s="1"/>
      <c r="B639" s="9"/>
      <c r="C639" s="11"/>
      <c r="D639" s="1"/>
      <c r="E639" s="1"/>
      <c r="F639" s="1"/>
      <c r="G639" s="7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25">
      <c r="A640" s="1"/>
      <c r="B640" s="9"/>
      <c r="C640" s="11"/>
      <c r="D640" s="1"/>
      <c r="E640" s="1"/>
      <c r="F640" s="1"/>
      <c r="G640" s="7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25">
      <c r="A641" s="1"/>
      <c r="B641" s="9"/>
      <c r="C641" s="11"/>
      <c r="D641" s="1"/>
      <c r="E641" s="1"/>
      <c r="F641" s="1"/>
      <c r="G641" s="7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25">
      <c r="A642" s="1"/>
      <c r="B642" s="9"/>
      <c r="C642" s="11"/>
      <c r="D642" s="1"/>
      <c r="E642" s="1"/>
      <c r="F642" s="1"/>
      <c r="G642" s="7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25">
      <c r="A643" s="1"/>
      <c r="B643" s="9"/>
      <c r="C643" s="11"/>
      <c r="D643" s="1"/>
      <c r="E643" s="1"/>
      <c r="F643" s="1"/>
      <c r="G643" s="7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25">
      <c r="A644" s="1"/>
      <c r="B644" s="9"/>
      <c r="C644" s="11"/>
      <c r="D644" s="1"/>
      <c r="E644" s="1"/>
      <c r="F644" s="1"/>
      <c r="G644" s="7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25">
      <c r="A645" s="1"/>
      <c r="B645" s="9"/>
      <c r="C645" s="11"/>
      <c r="D645" s="1"/>
      <c r="E645" s="1"/>
      <c r="F645" s="1"/>
      <c r="G645" s="7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25">
      <c r="A646" s="1"/>
      <c r="B646" s="9"/>
      <c r="C646" s="11"/>
      <c r="D646" s="1"/>
      <c r="E646" s="1"/>
      <c r="F646" s="1"/>
      <c r="G646" s="7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25">
      <c r="A647" s="1"/>
      <c r="B647" s="9"/>
      <c r="C647" s="11"/>
      <c r="D647" s="1"/>
      <c r="E647" s="1"/>
      <c r="F647" s="1"/>
      <c r="G647" s="7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25">
      <c r="A648" s="1"/>
      <c r="B648" s="9"/>
      <c r="C648" s="11"/>
      <c r="D648" s="1"/>
      <c r="E648" s="1"/>
      <c r="F648" s="1"/>
      <c r="G648" s="7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25">
      <c r="A649" s="1"/>
      <c r="B649" s="9"/>
      <c r="C649" s="11"/>
      <c r="D649" s="1"/>
      <c r="E649" s="1"/>
      <c r="F649" s="1"/>
      <c r="G649" s="7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25">
      <c r="A650" s="1"/>
      <c r="B650" s="9"/>
      <c r="C650" s="11"/>
      <c r="D650" s="1"/>
      <c r="E650" s="1"/>
      <c r="F650" s="1"/>
      <c r="G650" s="7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25">
      <c r="A651" s="1"/>
      <c r="B651" s="9"/>
      <c r="C651" s="11"/>
      <c r="D651" s="1"/>
      <c r="E651" s="1"/>
      <c r="F651" s="1"/>
      <c r="G651" s="7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25">
      <c r="A652" s="1"/>
      <c r="B652" s="9"/>
      <c r="C652" s="11"/>
      <c r="D652" s="1"/>
      <c r="E652" s="1"/>
      <c r="F652" s="1"/>
      <c r="G652" s="7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25">
      <c r="A653" s="1"/>
      <c r="B653" s="9"/>
      <c r="C653" s="11"/>
      <c r="D653" s="1"/>
      <c r="E653" s="1"/>
      <c r="F653" s="1"/>
      <c r="G653" s="7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25">
      <c r="A654" s="1"/>
      <c r="B654" s="9"/>
      <c r="C654" s="11"/>
      <c r="D654" s="1"/>
      <c r="E654" s="1"/>
      <c r="F654" s="1"/>
      <c r="G654" s="7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25">
      <c r="A655" s="1"/>
      <c r="B655" s="9"/>
      <c r="C655" s="11"/>
      <c r="D655" s="1"/>
      <c r="E655" s="1"/>
      <c r="F655" s="1"/>
      <c r="G655" s="7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25">
      <c r="A656" s="1"/>
      <c r="B656" s="9"/>
      <c r="C656" s="11"/>
      <c r="D656" s="1"/>
      <c r="E656" s="1"/>
      <c r="F656" s="1"/>
      <c r="G656" s="7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25">
      <c r="A657" s="1"/>
      <c r="B657" s="9"/>
      <c r="C657" s="11"/>
      <c r="D657" s="1"/>
      <c r="E657" s="1"/>
      <c r="F657" s="1"/>
      <c r="G657" s="7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25">
      <c r="A658" s="1"/>
      <c r="B658" s="9"/>
      <c r="C658" s="11"/>
      <c r="D658" s="1"/>
      <c r="E658" s="1"/>
      <c r="F658" s="1"/>
      <c r="G658" s="7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25">
      <c r="A659" s="1"/>
      <c r="B659" s="9"/>
      <c r="C659" s="11"/>
      <c r="D659" s="1"/>
      <c r="E659" s="1"/>
      <c r="F659" s="1"/>
      <c r="G659" s="7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25">
      <c r="A660" s="1"/>
      <c r="B660" s="9"/>
      <c r="C660" s="11"/>
      <c r="D660" s="1"/>
      <c r="E660" s="1"/>
      <c r="F660" s="1"/>
      <c r="G660" s="7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25">
      <c r="A661" s="1"/>
      <c r="B661" s="9"/>
      <c r="C661" s="11"/>
      <c r="D661" s="1"/>
      <c r="E661" s="1"/>
      <c r="F661" s="1"/>
      <c r="G661" s="7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25">
      <c r="A662" s="1"/>
      <c r="B662" s="9"/>
      <c r="C662" s="11"/>
      <c r="D662" s="1"/>
      <c r="E662" s="1"/>
      <c r="F662" s="1"/>
      <c r="G662" s="7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25">
      <c r="A663" s="1"/>
      <c r="B663" s="9"/>
      <c r="C663" s="11"/>
      <c r="D663" s="1"/>
      <c r="E663" s="1"/>
      <c r="F663" s="1"/>
      <c r="G663" s="7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25">
      <c r="A664" s="1"/>
      <c r="B664" s="9"/>
      <c r="C664" s="11"/>
      <c r="D664" s="1"/>
      <c r="E664" s="1"/>
      <c r="F664" s="1"/>
      <c r="G664" s="7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25">
      <c r="A665" s="1"/>
      <c r="B665" s="9"/>
      <c r="C665" s="11"/>
      <c r="D665" s="1"/>
      <c r="E665" s="1"/>
      <c r="F665" s="1"/>
      <c r="G665" s="7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25">
      <c r="A666" s="1"/>
      <c r="B666" s="9"/>
      <c r="C666" s="11"/>
      <c r="D666" s="1"/>
      <c r="E666" s="1"/>
      <c r="F666" s="1"/>
      <c r="G666" s="7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25">
      <c r="A667" s="1"/>
      <c r="B667" s="9"/>
      <c r="C667" s="11"/>
      <c r="D667" s="1"/>
      <c r="E667" s="1"/>
      <c r="F667" s="1"/>
      <c r="G667" s="7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25">
      <c r="A668" s="1"/>
      <c r="B668" s="9"/>
      <c r="C668" s="11"/>
      <c r="D668" s="1"/>
      <c r="E668" s="1"/>
      <c r="F668" s="1"/>
      <c r="G668" s="7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25">
      <c r="A669" s="1"/>
      <c r="B669" s="9"/>
      <c r="C669" s="11"/>
      <c r="D669" s="1"/>
      <c r="E669" s="1"/>
      <c r="F669" s="1"/>
      <c r="G669" s="7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25">
      <c r="A670" s="1"/>
      <c r="B670" s="9"/>
      <c r="C670" s="11"/>
      <c r="D670" s="1"/>
      <c r="E670" s="1"/>
      <c r="F670" s="1"/>
      <c r="G670" s="7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25">
      <c r="A671" s="1"/>
      <c r="B671" s="9"/>
      <c r="C671" s="11"/>
      <c r="D671" s="1"/>
      <c r="E671" s="1"/>
      <c r="F671" s="1"/>
      <c r="G671" s="7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25">
      <c r="A672" s="1"/>
      <c r="B672" s="9"/>
      <c r="C672" s="11"/>
      <c r="D672" s="1"/>
      <c r="E672" s="1"/>
      <c r="F672" s="1"/>
      <c r="G672" s="7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25">
      <c r="A673" s="1"/>
      <c r="B673" s="9"/>
      <c r="C673" s="11"/>
      <c r="D673" s="1"/>
      <c r="E673" s="1"/>
      <c r="F673" s="1"/>
      <c r="G673" s="7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25">
      <c r="A674" s="1"/>
      <c r="B674" s="9"/>
      <c r="C674" s="11"/>
      <c r="D674" s="1"/>
      <c r="E674" s="1"/>
      <c r="F674" s="1"/>
      <c r="G674" s="7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25">
      <c r="A675" s="1"/>
      <c r="B675" s="9"/>
      <c r="C675" s="11"/>
      <c r="D675" s="1"/>
      <c r="E675" s="1"/>
      <c r="F675" s="1"/>
      <c r="G675" s="7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25">
      <c r="A676" s="1"/>
      <c r="B676" s="9"/>
      <c r="C676" s="11"/>
      <c r="D676" s="1"/>
      <c r="E676" s="1"/>
      <c r="F676" s="1"/>
      <c r="G676" s="7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25">
      <c r="A677" s="1"/>
      <c r="B677" s="9"/>
      <c r="C677" s="11"/>
      <c r="D677" s="1"/>
      <c r="E677" s="1"/>
      <c r="F677" s="1"/>
      <c r="G677" s="7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25">
      <c r="A678" s="1"/>
      <c r="B678" s="9"/>
      <c r="C678" s="11"/>
      <c r="D678" s="1"/>
      <c r="E678" s="1"/>
      <c r="F678" s="1"/>
      <c r="G678" s="7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25">
      <c r="A679" s="1"/>
      <c r="B679" s="9"/>
      <c r="C679" s="11"/>
      <c r="D679" s="1"/>
      <c r="E679" s="1"/>
      <c r="F679" s="1"/>
      <c r="G679" s="7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25">
      <c r="A680" s="1"/>
      <c r="B680" s="9"/>
      <c r="C680" s="11"/>
      <c r="D680" s="1"/>
      <c r="E680" s="1"/>
      <c r="F680" s="1"/>
      <c r="G680" s="7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25">
      <c r="A681" s="1"/>
      <c r="B681" s="9"/>
      <c r="C681" s="11"/>
      <c r="D681" s="1"/>
      <c r="E681" s="1"/>
      <c r="F681" s="1"/>
      <c r="G681" s="7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25">
      <c r="A682" s="1"/>
      <c r="B682" s="9"/>
      <c r="C682" s="11"/>
      <c r="D682" s="1"/>
      <c r="E682" s="1"/>
      <c r="F682" s="1"/>
      <c r="G682" s="7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25">
      <c r="A683" s="1"/>
      <c r="B683" s="9"/>
      <c r="C683" s="11"/>
      <c r="D683" s="1"/>
      <c r="E683" s="1"/>
      <c r="F683" s="1"/>
      <c r="G683" s="7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25">
      <c r="A684" s="1"/>
      <c r="B684" s="9"/>
      <c r="C684" s="11"/>
      <c r="D684" s="1"/>
      <c r="E684" s="1"/>
      <c r="F684" s="1"/>
      <c r="G684" s="7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25">
      <c r="A685" s="1"/>
      <c r="B685" s="9"/>
      <c r="C685" s="11"/>
      <c r="D685" s="1"/>
      <c r="E685" s="1"/>
      <c r="F685" s="1"/>
      <c r="G685" s="7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25">
      <c r="A686" s="1"/>
      <c r="B686" s="9"/>
      <c r="C686" s="11"/>
      <c r="D686" s="1"/>
      <c r="E686" s="1"/>
      <c r="F686" s="1"/>
      <c r="G686" s="7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25">
      <c r="A687" s="1"/>
      <c r="B687" s="9"/>
      <c r="C687" s="11"/>
      <c r="D687" s="1"/>
      <c r="E687" s="1"/>
      <c r="F687" s="1"/>
      <c r="G687" s="7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25">
      <c r="A688" s="1"/>
      <c r="B688" s="9"/>
      <c r="C688" s="11"/>
      <c r="D688" s="1"/>
      <c r="E688" s="1"/>
      <c r="F688" s="1"/>
      <c r="G688" s="7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25">
      <c r="A689" s="1"/>
      <c r="B689" s="9"/>
      <c r="C689" s="11"/>
      <c r="D689" s="1"/>
      <c r="E689" s="1"/>
      <c r="F689" s="1"/>
      <c r="G689" s="7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25">
      <c r="A690" s="1"/>
      <c r="B690" s="9"/>
      <c r="C690" s="11"/>
      <c r="D690" s="1"/>
      <c r="E690" s="1"/>
      <c r="F690" s="1"/>
      <c r="G690" s="7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25">
      <c r="A691" s="1"/>
      <c r="B691" s="9"/>
      <c r="C691" s="11"/>
      <c r="D691" s="1"/>
      <c r="E691" s="1"/>
      <c r="F691" s="1"/>
      <c r="G691" s="7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25">
      <c r="A692" s="1"/>
      <c r="B692" s="9"/>
      <c r="C692" s="11"/>
      <c r="D692" s="1"/>
      <c r="E692" s="1"/>
      <c r="F692" s="1"/>
      <c r="G692" s="7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25">
      <c r="A693" s="1"/>
      <c r="B693" s="9"/>
      <c r="C693" s="11"/>
      <c r="D693" s="1"/>
      <c r="E693" s="1"/>
      <c r="F693" s="1"/>
      <c r="G693" s="7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25">
      <c r="A694" s="1"/>
      <c r="B694" s="9"/>
      <c r="C694" s="11"/>
      <c r="D694" s="1"/>
      <c r="E694" s="1"/>
      <c r="F694" s="1"/>
      <c r="G694" s="7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25">
      <c r="A695" s="1"/>
      <c r="B695" s="9"/>
      <c r="C695" s="11"/>
      <c r="D695" s="1"/>
      <c r="E695" s="1"/>
      <c r="F695" s="1"/>
      <c r="G695" s="7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25">
      <c r="A696" s="1"/>
      <c r="B696" s="9"/>
      <c r="C696" s="11"/>
      <c r="D696" s="1"/>
      <c r="E696" s="1"/>
      <c r="F696" s="1"/>
      <c r="G696" s="7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25">
      <c r="A697" s="1"/>
      <c r="B697" s="9"/>
      <c r="C697" s="11"/>
      <c r="D697" s="1"/>
      <c r="E697" s="1"/>
      <c r="F697" s="1"/>
      <c r="G697" s="7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25">
      <c r="A698" s="1"/>
      <c r="B698" s="9"/>
      <c r="C698" s="11"/>
      <c r="D698" s="1"/>
      <c r="E698" s="1"/>
      <c r="F698" s="1"/>
      <c r="G698" s="7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25">
      <c r="A699" s="1"/>
      <c r="B699" s="9"/>
      <c r="C699" s="11"/>
      <c r="D699" s="1"/>
      <c r="E699" s="1"/>
      <c r="F699" s="1"/>
      <c r="G699" s="7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25">
      <c r="A700" s="1"/>
      <c r="B700" s="9"/>
      <c r="C700" s="11"/>
      <c r="D700" s="1"/>
      <c r="E700" s="1"/>
      <c r="F700" s="1"/>
      <c r="G700" s="7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25">
      <c r="A701" s="1"/>
      <c r="B701" s="9"/>
      <c r="C701" s="11"/>
      <c r="D701" s="1"/>
      <c r="E701" s="1"/>
      <c r="F701" s="1"/>
      <c r="G701" s="7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25">
      <c r="A702" s="1"/>
      <c r="B702" s="9"/>
      <c r="C702" s="11"/>
      <c r="D702" s="1"/>
      <c r="E702" s="1"/>
      <c r="F702" s="1"/>
      <c r="G702" s="7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25">
      <c r="A703" s="1"/>
      <c r="B703" s="9"/>
      <c r="C703" s="11"/>
      <c r="D703" s="1"/>
      <c r="E703" s="1"/>
      <c r="F703" s="1"/>
      <c r="G703" s="7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25">
      <c r="A704" s="1"/>
      <c r="B704" s="9"/>
      <c r="C704" s="11"/>
      <c r="D704" s="1"/>
      <c r="E704" s="1"/>
      <c r="F704" s="1"/>
      <c r="G704" s="7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25">
      <c r="A705" s="1"/>
      <c r="B705" s="9"/>
      <c r="C705" s="11"/>
      <c r="D705" s="1"/>
      <c r="E705" s="1"/>
      <c r="F705" s="1"/>
      <c r="G705" s="7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25">
      <c r="A706" s="1"/>
      <c r="B706" s="9"/>
      <c r="C706" s="11"/>
      <c r="D706" s="1"/>
      <c r="E706" s="1"/>
      <c r="F706" s="1"/>
      <c r="G706" s="7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25">
      <c r="A707" s="1"/>
      <c r="B707" s="9"/>
      <c r="C707" s="11"/>
      <c r="D707" s="1"/>
      <c r="E707" s="1"/>
      <c r="F707" s="1"/>
      <c r="G707" s="7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25">
      <c r="A708" s="1"/>
      <c r="B708" s="9"/>
      <c r="C708" s="11"/>
      <c r="D708" s="1"/>
      <c r="E708" s="1"/>
      <c r="F708" s="1"/>
      <c r="G708" s="7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25">
      <c r="A709" s="1"/>
      <c r="B709" s="9"/>
      <c r="C709" s="11"/>
      <c r="D709" s="1"/>
      <c r="E709" s="1"/>
      <c r="F709" s="1"/>
      <c r="G709" s="7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25">
      <c r="A710" s="1"/>
      <c r="B710" s="9"/>
      <c r="C710" s="11"/>
      <c r="D710" s="1"/>
      <c r="E710" s="1"/>
      <c r="F710" s="1"/>
      <c r="G710" s="7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25">
      <c r="A711" s="1"/>
      <c r="B711" s="9"/>
      <c r="C711" s="11"/>
      <c r="D711" s="1"/>
      <c r="E711" s="1"/>
      <c r="F711" s="1"/>
      <c r="G711" s="7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25">
      <c r="A712" s="1"/>
      <c r="B712" s="9"/>
      <c r="C712" s="11"/>
      <c r="D712" s="1"/>
      <c r="E712" s="1"/>
      <c r="F712" s="1"/>
      <c r="G712" s="7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25">
      <c r="A713" s="1"/>
      <c r="B713" s="9"/>
      <c r="C713" s="11"/>
      <c r="D713" s="1"/>
      <c r="E713" s="1"/>
      <c r="F713" s="1"/>
      <c r="G713" s="7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25">
      <c r="A714" s="1"/>
      <c r="B714" s="9"/>
      <c r="C714" s="11"/>
      <c r="D714" s="1"/>
      <c r="E714" s="1"/>
      <c r="F714" s="1"/>
      <c r="G714" s="7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25">
      <c r="A715" s="1"/>
      <c r="B715" s="9"/>
      <c r="C715" s="11"/>
      <c r="D715" s="1"/>
      <c r="E715" s="1"/>
      <c r="F715" s="1"/>
      <c r="G715" s="7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25">
      <c r="A716" s="1"/>
      <c r="B716" s="9"/>
      <c r="C716" s="11"/>
      <c r="D716" s="1"/>
      <c r="E716" s="1"/>
      <c r="F716" s="1"/>
      <c r="G716" s="7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25">
      <c r="A717" s="1"/>
      <c r="B717" s="9"/>
      <c r="C717" s="11"/>
      <c r="D717" s="1"/>
      <c r="E717" s="1"/>
      <c r="F717" s="1"/>
      <c r="G717" s="7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25">
      <c r="A718" s="1"/>
      <c r="B718" s="9"/>
      <c r="C718" s="11"/>
      <c r="D718" s="1"/>
      <c r="E718" s="1"/>
      <c r="F718" s="1"/>
      <c r="G718" s="7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25">
      <c r="A719" s="1"/>
      <c r="B719" s="9"/>
      <c r="C719" s="11"/>
      <c r="D719" s="1"/>
      <c r="E719" s="1"/>
      <c r="F719" s="1"/>
      <c r="G719" s="7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25">
      <c r="A720" s="1"/>
      <c r="B720" s="9"/>
      <c r="C720" s="11"/>
      <c r="D720" s="1"/>
      <c r="E720" s="1"/>
      <c r="F720" s="1"/>
      <c r="G720" s="7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25">
      <c r="A721" s="1"/>
      <c r="B721" s="9"/>
      <c r="C721" s="11"/>
      <c r="D721" s="1"/>
      <c r="E721" s="1"/>
      <c r="F721" s="1"/>
      <c r="G721" s="7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25">
      <c r="A722" s="1"/>
      <c r="B722" s="9"/>
      <c r="C722" s="11"/>
      <c r="D722" s="1"/>
      <c r="E722" s="1"/>
      <c r="F722" s="1"/>
      <c r="G722" s="7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25">
      <c r="A723" s="1"/>
      <c r="B723" s="9"/>
      <c r="C723" s="11"/>
      <c r="D723" s="1"/>
      <c r="E723" s="1"/>
      <c r="F723" s="1"/>
      <c r="G723" s="7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25">
      <c r="A724" s="1"/>
      <c r="B724" s="9"/>
      <c r="C724" s="11"/>
      <c r="D724" s="1"/>
      <c r="E724" s="1"/>
      <c r="F724" s="1"/>
      <c r="G724" s="7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25">
      <c r="A725" s="1"/>
      <c r="B725" s="9"/>
      <c r="C725" s="11"/>
      <c r="D725" s="1"/>
      <c r="E725" s="1"/>
      <c r="F725" s="1"/>
      <c r="G725" s="7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25">
      <c r="A726" s="1"/>
      <c r="B726" s="9"/>
      <c r="C726" s="11"/>
      <c r="D726" s="1"/>
      <c r="E726" s="1"/>
      <c r="F726" s="1"/>
      <c r="G726" s="7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25">
      <c r="A727" s="1"/>
      <c r="B727" s="9"/>
      <c r="C727" s="11"/>
      <c r="D727" s="1"/>
      <c r="E727" s="1"/>
      <c r="F727" s="1"/>
      <c r="G727" s="7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25">
      <c r="A728" s="1"/>
      <c r="B728" s="9"/>
      <c r="C728" s="11"/>
      <c r="D728" s="1"/>
      <c r="E728" s="1"/>
      <c r="F728" s="1"/>
      <c r="G728" s="7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25">
      <c r="A729" s="1"/>
      <c r="B729" s="9"/>
      <c r="C729" s="11"/>
      <c r="D729" s="1"/>
      <c r="E729" s="1"/>
      <c r="F729" s="1"/>
      <c r="G729" s="7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25">
      <c r="A730" s="1"/>
      <c r="B730" s="9"/>
      <c r="C730" s="11"/>
      <c r="D730" s="1"/>
      <c r="E730" s="1"/>
      <c r="F730" s="1"/>
      <c r="G730" s="7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25">
      <c r="A731" s="1"/>
      <c r="B731" s="9"/>
      <c r="C731" s="11"/>
      <c r="D731" s="1"/>
      <c r="E731" s="1"/>
      <c r="F731" s="1"/>
      <c r="G731" s="7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25">
      <c r="A732" s="1"/>
      <c r="B732" s="9"/>
      <c r="C732" s="11"/>
      <c r="D732" s="1"/>
      <c r="E732" s="1"/>
      <c r="F732" s="1"/>
      <c r="G732" s="7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25">
      <c r="A733" s="1"/>
      <c r="B733" s="9"/>
      <c r="C733" s="11"/>
      <c r="D733" s="1"/>
      <c r="E733" s="1"/>
      <c r="F733" s="1"/>
      <c r="G733" s="7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25">
      <c r="A734" s="1"/>
      <c r="B734" s="9"/>
      <c r="C734" s="11"/>
      <c r="D734" s="1"/>
      <c r="E734" s="1"/>
      <c r="F734" s="1"/>
      <c r="G734" s="7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25">
      <c r="A735" s="1"/>
      <c r="B735" s="9"/>
      <c r="C735" s="11"/>
      <c r="D735" s="1"/>
      <c r="E735" s="1"/>
      <c r="F735" s="1"/>
      <c r="G735" s="7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25">
      <c r="A736" s="1"/>
      <c r="B736" s="9"/>
      <c r="C736" s="11"/>
      <c r="D736" s="1"/>
      <c r="E736" s="1"/>
      <c r="F736" s="1"/>
      <c r="G736" s="7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25">
      <c r="A737" s="1"/>
      <c r="B737" s="9"/>
      <c r="C737" s="11"/>
      <c r="D737" s="1"/>
      <c r="E737" s="1"/>
      <c r="F737" s="1"/>
      <c r="G737" s="7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25">
      <c r="A738" s="1"/>
      <c r="B738" s="9"/>
      <c r="C738" s="11"/>
      <c r="D738" s="1"/>
      <c r="E738" s="1"/>
      <c r="F738" s="1"/>
      <c r="G738" s="7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25">
      <c r="A739" s="1"/>
      <c r="B739" s="9"/>
      <c r="C739" s="11"/>
      <c r="D739" s="1"/>
      <c r="E739" s="1"/>
      <c r="F739" s="1"/>
      <c r="G739" s="7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25">
      <c r="A740" s="1"/>
      <c r="B740" s="9"/>
      <c r="C740" s="11"/>
      <c r="D740" s="1"/>
      <c r="E740" s="1"/>
      <c r="F740" s="1"/>
      <c r="G740" s="7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25">
      <c r="A741" s="1"/>
      <c r="B741" s="9"/>
      <c r="C741" s="11"/>
      <c r="D741" s="1"/>
      <c r="E741" s="1"/>
      <c r="F741" s="1"/>
      <c r="G741" s="7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25">
      <c r="A742" s="1"/>
      <c r="B742" s="9"/>
      <c r="C742" s="11"/>
      <c r="D742" s="1"/>
      <c r="E742" s="1"/>
      <c r="F742" s="1"/>
      <c r="G742" s="7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25">
      <c r="A743" s="1"/>
      <c r="B743" s="9"/>
      <c r="C743" s="11"/>
      <c r="D743" s="1"/>
      <c r="E743" s="1"/>
      <c r="F743" s="1"/>
      <c r="G743" s="7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25">
      <c r="A744" s="1"/>
      <c r="B744" s="9"/>
      <c r="C744" s="11"/>
      <c r="D744" s="1"/>
      <c r="E744" s="1"/>
      <c r="F744" s="1"/>
      <c r="G744" s="7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25">
      <c r="A745" s="1"/>
      <c r="B745" s="9"/>
      <c r="C745" s="11"/>
      <c r="D745" s="1"/>
      <c r="E745" s="1"/>
      <c r="F745" s="1"/>
      <c r="G745" s="7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25">
      <c r="A746" s="1"/>
      <c r="B746" s="9"/>
      <c r="C746" s="11"/>
      <c r="D746" s="1"/>
      <c r="E746" s="1"/>
      <c r="F746" s="1"/>
      <c r="G746" s="7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25">
      <c r="A747" s="1"/>
      <c r="B747" s="9"/>
      <c r="C747" s="11"/>
      <c r="D747" s="1"/>
      <c r="E747" s="1"/>
      <c r="F747" s="1"/>
      <c r="G747" s="7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25">
      <c r="A748" s="1"/>
      <c r="B748" s="9"/>
      <c r="C748" s="11"/>
      <c r="D748" s="1"/>
      <c r="E748" s="1"/>
      <c r="F748" s="1"/>
      <c r="G748" s="7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25">
      <c r="A749" s="1"/>
      <c r="B749" s="9"/>
      <c r="C749" s="11"/>
      <c r="D749" s="1"/>
      <c r="E749" s="1"/>
      <c r="F749" s="1"/>
      <c r="G749" s="7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25">
      <c r="A750" s="1"/>
      <c r="B750" s="9"/>
      <c r="C750" s="11"/>
      <c r="D750" s="1"/>
      <c r="E750" s="1"/>
      <c r="F750" s="1"/>
      <c r="G750" s="7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25">
      <c r="A751" s="1"/>
      <c r="B751" s="9"/>
      <c r="C751" s="11"/>
      <c r="D751" s="1"/>
      <c r="E751" s="1"/>
      <c r="F751" s="1"/>
      <c r="G751" s="7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25">
      <c r="A752" s="1"/>
      <c r="B752" s="9"/>
      <c r="C752" s="11"/>
      <c r="D752" s="1"/>
      <c r="E752" s="1"/>
      <c r="F752" s="1"/>
      <c r="G752" s="7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25">
      <c r="A753" s="1"/>
      <c r="B753" s="9"/>
      <c r="C753" s="11"/>
      <c r="D753" s="1"/>
      <c r="E753" s="1"/>
      <c r="F753" s="1"/>
      <c r="G753" s="7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25">
      <c r="A754" s="1"/>
      <c r="B754" s="9"/>
      <c r="C754" s="11"/>
      <c r="D754" s="1"/>
      <c r="E754" s="1"/>
      <c r="F754" s="1"/>
      <c r="G754" s="7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25">
      <c r="A755" s="1"/>
      <c r="B755" s="9"/>
      <c r="C755" s="11"/>
      <c r="D755" s="1"/>
      <c r="E755" s="1"/>
      <c r="F755" s="1"/>
      <c r="G755" s="7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25">
      <c r="A756" s="1"/>
      <c r="B756" s="9"/>
      <c r="C756" s="11"/>
      <c r="D756" s="1"/>
      <c r="E756" s="1"/>
      <c r="F756" s="1"/>
      <c r="G756" s="7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25">
      <c r="A757" s="1"/>
      <c r="B757" s="9"/>
      <c r="C757" s="11"/>
      <c r="D757" s="1"/>
      <c r="E757" s="1"/>
      <c r="F757" s="1"/>
      <c r="G757" s="7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25">
      <c r="A758" s="1"/>
      <c r="B758" s="9"/>
      <c r="C758" s="11"/>
      <c r="D758" s="1"/>
      <c r="E758" s="1"/>
      <c r="F758" s="1"/>
      <c r="G758" s="7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25">
      <c r="A759" s="1"/>
      <c r="B759" s="9"/>
      <c r="C759" s="11"/>
      <c r="D759" s="1"/>
      <c r="E759" s="1"/>
      <c r="F759" s="1"/>
      <c r="G759" s="7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25">
      <c r="A760" s="1"/>
      <c r="B760" s="9"/>
      <c r="C760" s="11"/>
      <c r="D760" s="1"/>
      <c r="E760" s="1"/>
      <c r="F760" s="1"/>
      <c r="G760" s="7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25">
      <c r="A761" s="1"/>
      <c r="B761" s="9"/>
      <c r="C761" s="11"/>
      <c r="D761" s="1"/>
      <c r="E761" s="1"/>
      <c r="F761" s="1"/>
      <c r="G761" s="7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25">
      <c r="A762" s="1"/>
      <c r="B762" s="9"/>
      <c r="C762" s="11"/>
      <c r="D762" s="1"/>
      <c r="E762" s="1"/>
      <c r="F762" s="1"/>
      <c r="G762" s="7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25">
      <c r="A763" s="1"/>
      <c r="B763" s="9"/>
      <c r="C763" s="11"/>
      <c r="D763" s="1"/>
      <c r="E763" s="1"/>
      <c r="F763" s="1"/>
      <c r="G763" s="7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25">
      <c r="A764" s="1"/>
      <c r="B764" s="9"/>
      <c r="C764" s="11"/>
      <c r="D764" s="1"/>
      <c r="E764" s="1"/>
      <c r="F764" s="1"/>
      <c r="G764" s="7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25">
      <c r="A765" s="1"/>
      <c r="B765" s="9"/>
      <c r="C765" s="11"/>
      <c r="D765" s="1"/>
      <c r="E765" s="1"/>
      <c r="F765" s="1"/>
      <c r="G765" s="7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25">
      <c r="A766" s="1"/>
      <c r="B766" s="9"/>
      <c r="C766" s="11"/>
      <c r="D766" s="1"/>
      <c r="E766" s="1"/>
      <c r="F766" s="1"/>
      <c r="G766" s="7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25">
      <c r="A767" s="1"/>
      <c r="B767" s="9"/>
      <c r="C767" s="11"/>
      <c r="D767" s="1"/>
      <c r="E767" s="1"/>
      <c r="F767" s="1"/>
      <c r="G767" s="7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25">
      <c r="A768" s="1"/>
      <c r="B768" s="9"/>
      <c r="C768" s="11"/>
      <c r="D768" s="1"/>
      <c r="E768" s="1"/>
      <c r="F768" s="1"/>
      <c r="G768" s="7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25">
      <c r="A769" s="1"/>
      <c r="B769" s="9"/>
      <c r="C769" s="11"/>
      <c r="D769" s="1"/>
      <c r="E769" s="1"/>
      <c r="F769" s="1"/>
      <c r="G769" s="7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25">
      <c r="A770" s="1"/>
      <c r="B770" s="9"/>
      <c r="C770" s="11"/>
      <c r="D770" s="1"/>
      <c r="E770" s="1"/>
      <c r="F770" s="1"/>
      <c r="G770" s="7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25">
      <c r="A771" s="1"/>
      <c r="B771" s="9"/>
      <c r="C771" s="11"/>
      <c r="D771" s="1"/>
      <c r="E771" s="1"/>
      <c r="F771" s="1"/>
      <c r="G771" s="7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25">
      <c r="A772" s="1"/>
      <c r="B772" s="9"/>
      <c r="C772" s="11"/>
      <c r="D772" s="1"/>
      <c r="E772" s="1"/>
      <c r="F772" s="1"/>
      <c r="G772" s="7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25">
      <c r="A773" s="1"/>
      <c r="B773" s="9"/>
      <c r="C773" s="11"/>
      <c r="D773" s="1"/>
      <c r="E773" s="1"/>
      <c r="F773" s="1"/>
      <c r="G773" s="7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25">
      <c r="A774" s="1"/>
      <c r="B774" s="9"/>
      <c r="C774" s="11"/>
      <c r="D774" s="1"/>
      <c r="E774" s="1"/>
      <c r="F774" s="1"/>
      <c r="G774" s="7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25">
      <c r="A775" s="1"/>
      <c r="B775" s="9"/>
      <c r="C775" s="11"/>
      <c r="D775" s="1"/>
      <c r="E775" s="1"/>
      <c r="F775" s="1"/>
      <c r="G775" s="7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25">
      <c r="A776" s="1"/>
      <c r="B776" s="9"/>
      <c r="C776" s="11"/>
      <c r="D776" s="1"/>
      <c r="E776" s="1"/>
      <c r="F776" s="1"/>
      <c r="G776" s="7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25">
      <c r="A777" s="1"/>
      <c r="B777" s="9"/>
      <c r="C777" s="11"/>
      <c r="D777" s="1"/>
      <c r="E777" s="1"/>
      <c r="F777" s="1"/>
      <c r="G777" s="7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25">
      <c r="A778" s="1"/>
      <c r="B778" s="9"/>
      <c r="C778" s="11"/>
      <c r="D778" s="1"/>
      <c r="E778" s="1"/>
      <c r="F778" s="1"/>
      <c r="G778" s="7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25">
      <c r="A779" s="1"/>
      <c r="B779" s="9"/>
      <c r="C779" s="11"/>
      <c r="D779" s="1"/>
      <c r="E779" s="1"/>
      <c r="F779" s="1"/>
      <c r="G779" s="7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25">
      <c r="A780" s="1"/>
      <c r="B780" s="9"/>
      <c r="C780" s="11"/>
      <c r="D780" s="1"/>
      <c r="E780" s="1"/>
      <c r="F780" s="1"/>
      <c r="G780" s="7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25">
      <c r="A781" s="1"/>
      <c r="B781" s="9"/>
      <c r="C781" s="11"/>
      <c r="D781" s="1"/>
      <c r="E781" s="1"/>
      <c r="F781" s="1"/>
      <c r="G781" s="7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25">
      <c r="A782" s="1"/>
      <c r="B782" s="9"/>
      <c r="C782" s="11"/>
      <c r="D782" s="1"/>
      <c r="E782" s="1"/>
      <c r="F782" s="1"/>
      <c r="G782" s="7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25">
      <c r="A783" s="1"/>
      <c r="B783" s="9"/>
      <c r="C783" s="11"/>
      <c r="D783" s="1"/>
      <c r="E783" s="1"/>
      <c r="F783" s="1"/>
      <c r="G783" s="7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25">
      <c r="A784" s="1"/>
      <c r="B784" s="9"/>
      <c r="C784" s="11"/>
      <c r="D784" s="1"/>
      <c r="E784" s="1"/>
      <c r="F784" s="1"/>
      <c r="G784" s="7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25">
      <c r="A785" s="1"/>
      <c r="B785" s="9"/>
      <c r="C785" s="11"/>
      <c r="D785" s="1"/>
      <c r="E785" s="1"/>
      <c r="F785" s="1"/>
      <c r="G785" s="7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25">
      <c r="A786" s="1"/>
      <c r="B786" s="9"/>
      <c r="C786" s="11"/>
      <c r="D786" s="1"/>
      <c r="E786" s="1"/>
      <c r="F786" s="1"/>
      <c r="G786" s="7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25">
      <c r="A787" s="1"/>
      <c r="B787" s="9"/>
      <c r="C787" s="11"/>
      <c r="D787" s="1"/>
      <c r="E787" s="1"/>
      <c r="F787" s="1"/>
      <c r="G787" s="7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25">
      <c r="A788" s="1"/>
      <c r="B788" s="9"/>
      <c r="C788" s="11"/>
      <c r="D788" s="1"/>
      <c r="E788" s="1"/>
      <c r="F788" s="1"/>
      <c r="G788" s="7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25">
      <c r="A789" s="1"/>
      <c r="B789" s="9"/>
      <c r="C789" s="11"/>
      <c r="D789" s="1"/>
      <c r="E789" s="1"/>
      <c r="F789" s="1"/>
      <c r="G789" s="7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25">
      <c r="A790" s="1"/>
      <c r="B790" s="9"/>
      <c r="C790" s="11"/>
      <c r="D790" s="1"/>
      <c r="E790" s="1"/>
      <c r="F790" s="1"/>
      <c r="G790" s="7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25">
      <c r="A791" s="1"/>
      <c r="B791" s="9"/>
      <c r="C791" s="11"/>
      <c r="D791" s="1"/>
      <c r="E791" s="1"/>
      <c r="F791" s="1"/>
      <c r="G791" s="7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25">
      <c r="A792" s="1"/>
      <c r="B792" s="9"/>
      <c r="C792" s="11"/>
      <c r="D792" s="1"/>
      <c r="E792" s="1"/>
      <c r="F792" s="1"/>
      <c r="G792" s="7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25">
      <c r="A793" s="1"/>
      <c r="B793" s="9"/>
      <c r="C793" s="11"/>
      <c r="D793" s="1"/>
      <c r="E793" s="1"/>
      <c r="F793" s="1"/>
      <c r="G793" s="7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25">
      <c r="A794" s="1"/>
      <c r="B794" s="9"/>
      <c r="C794" s="11"/>
      <c r="D794" s="1"/>
      <c r="E794" s="1"/>
      <c r="F794" s="1"/>
      <c r="G794" s="7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25">
      <c r="A795" s="1"/>
      <c r="B795" s="9"/>
      <c r="C795" s="11"/>
      <c r="D795" s="1"/>
      <c r="E795" s="1"/>
      <c r="F795" s="1"/>
      <c r="G795" s="7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25">
      <c r="A796" s="1"/>
      <c r="B796" s="9"/>
      <c r="C796" s="11"/>
      <c r="D796" s="1"/>
      <c r="E796" s="1"/>
      <c r="F796" s="1"/>
      <c r="G796" s="7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25">
      <c r="A797" s="1"/>
      <c r="B797" s="9"/>
      <c r="C797" s="11"/>
      <c r="D797" s="1"/>
      <c r="E797" s="1"/>
      <c r="F797" s="1"/>
      <c r="G797" s="7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25">
      <c r="A798" s="1"/>
      <c r="B798" s="9"/>
      <c r="C798" s="11"/>
      <c r="D798" s="1"/>
      <c r="E798" s="1"/>
      <c r="F798" s="1"/>
      <c r="G798" s="7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25">
      <c r="A799" s="1"/>
      <c r="B799" s="9"/>
      <c r="C799" s="11"/>
      <c r="D799" s="1"/>
      <c r="E799" s="1"/>
      <c r="F799" s="1"/>
      <c r="G799" s="7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25">
      <c r="A800" s="1"/>
      <c r="B800" s="9"/>
      <c r="C800" s="11"/>
      <c r="D800" s="1"/>
      <c r="E800" s="1"/>
      <c r="F800" s="1"/>
      <c r="G800" s="7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25">
      <c r="A801" s="1"/>
      <c r="B801" s="9"/>
      <c r="C801" s="11"/>
      <c r="D801" s="1"/>
      <c r="E801" s="1"/>
      <c r="F801" s="1"/>
      <c r="G801" s="7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25">
      <c r="A802" s="1"/>
      <c r="B802" s="9"/>
      <c r="C802" s="11"/>
      <c r="D802" s="1"/>
      <c r="E802" s="1"/>
      <c r="F802" s="1"/>
      <c r="G802" s="7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25">
      <c r="A803" s="1"/>
      <c r="B803" s="9"/>
      <c r="C803" s="11"/>
      <c r="D803" s="1"/>
      <c r="E803" s="1"/>
      <c r="F803" s="1"/>
      <c r="G803" s="7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25">
      <c r="A804" s="1"/>
      <c r="B804" s="9"/>
      <c r="C804" s="11"/>
      <c r="D804" s="1"/>
      <c r="E804" s="1"/>
      <c r="F804" s="1"/>
      <c r="G804" s="7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25">
      <c r="A805" s="1"/>
      <c r="B805" s="9"/>
      <c r="C805" s="11"/>
      <c r="D805" s="1"/>
      <c r="E805" s="1"/>
      <c r="F805" s="1"/>
      <c r="G805" s="7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25">
      <c r="A806" s="1"/>
      <c r="B806" s="9"/>
      <c r="C806" s="11"/>
      <c r="D806" s="1"/>
      <c r="E806" s="1"/>
      <c r="F806" s="1"/>
      <c r="G806" s="7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25">
      <c r="A807" s="1"/>
      <c r="B807" s="9"/>
      <c r="C807" s="11"/>
      <c r="D807" s="1"/>
      <c r="E807" s="1"/>
      <c r="F807" s="1"/>
      <c r="G807" s="7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25">
      <c r="A808" s="1"/>
      <c r="B808" s="9"/>
      <c r="C808" s="11"/>
      <c r="D808" s="1"/>
      <c r="E808" s="1"/>
      <c r="F808" s="1"/>
      <c r="G808" s="7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25">
      <c r="A809" s="1"/>
      <c r="B809" s="9"/>
      <c r="C809" s="11"/>
      <c r="D809" s="1"/>
      <c r="E809" s="1"/>
      <c r="F809" s="1"/>
      <c r="G809" s="7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25">
      <c r="A810" s="1"/>
      <c r="B810" s="9"/>
      <c r="C810" s="11"/>
      <c r="D810" s="1"/>
      <c r="E810" s="1"/>
      <c r="F810" s="1"/>
      <c r="G810" s="7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25">
      <c r="A811" s="1"/>
      <c r="B811" s="9"/>
      <c r="C811" s="11"/>
      <c r="D811" s="1"/>
      <c r="E811" s="1"/>
      <c r="F811" s="1"/>
      <c r="G811" s="7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25">
      <c r="A812" s="1"/>
      <c r="B812" s="9"/>
      <c r="C812" s="11"/>
      <c r="D812" s="1"/>
      <c r="E812" s="1"/>
      <c r="F812" s="1"/>
      <c r="G812" s="7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25">
      <c r="A813" s="1"/>
      <c r="B813" s="9"/>
      <c r="C813" s="11"/>
      <c r="D813" s="1"/>
      <c r="E813" s="1"/>
      <c r="F813" s="1"/>
      <c r="G813" s="7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25">
      <c r="A814" s="1"/>
      <c r="B814" s="9"/>
      <c r="C814" s="11"/>
      <c r="D814" s="1"/>
      <c r="E814" s="1"/>
      <c r="F814" s="1"/>
      <c r="G814" s="7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25">
      <c r="A815" s="1"/>
      <c r="B815" s="9"/>
      <c r="C815" s="11"/>
      <c r="D815" s="1"/>
      <c r="E815" s="1"/>
      <c r="F815" s="1"/>
      <c r="G815" s="7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25">
      <c r="A816" s="1"/>
      <c r="B816" s="9"/>
      <c r="C816" s="11"/>
      <c r="D816" s="1"/>
      <c r="E816" s="1"/>
      <c r="F816" s="1"/>
      <c r="G816" s="7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25">
      <c r="A817" s="1"/>
      <c r="B817" s="9"/>
      <c r="C817" s="11"/>
      <c r="D817" s="1"/>
      <c r="E817" s="1"/>
      <c r="F817" s="1"/>
      <c r="G817" s="7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25">
      <c r="A818" s="1"/>
      <c r="B818" s="9"/>
      <c r="C818" s="11"/>
      <c r="D818" s="1"/>
      <c r="E818" s="1"/>
      <c r="F818" s="1"/>
      <c r="G818" s="7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25">
      <c r="A819" s="1"/>
      <c r="B819" s="9"/>
      <c r="C819" s="11"/>
      <c r="D819" s="1"/>
      <c r="E819" s="1"/>
      <c r="F819" s="1"/>
      <c r="G819" s="7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25">
      <c r="A820" s="1"/>
      <c r="B820" s="9"/>
      <c r="C820" s="11"/>
      <c r="D820" s="1"/>
      <c r="E820" s="1"/>
      <c r="F820" s="1"/>
      <c r="G820" s="7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25">
      <c r="A821" s="1"/>
      <c r="B821" s="9"/>
      <c r="C821" s="11"/>
      <c r="D821" s="1"/>
      <c r="E821" s="1"/>
      <c r="F821" s="1"/>
      <c r="G821" s="7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25">
      <c r="A822" s="1"/>
      <c r="B822" s="9"/>
      <c r="C822" s="11"/>
      <c r="D822" s="1"/>
      <c r="E822" s="1"/>
      <c r="F822" s="1"/>
      <c r="G822" s="7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25">
      <c r="A823" s="1"/>
      <c r="B823" s="9"/>
      <c r="C823" s="11"/>
      <c r="D823" s="1"/>
      <c r="E823" s="1"/>
      <c r="F823" s="1"/>
      <c r="G823" s="7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25">
      <c r="A824" s="1"/>
      <c r="B824" s="9"/>
      <c r="C824" s="11"/>
      <c r="D824" s="1"/>
      <c r="E824" s="1"/>
      <c r="F824" s="1"/>
      <c r="G824" s="7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25">
      <c r="A825" s="1"/>
      <c r="B825" s="9"/>
      <c r="C825" s="11"/>
      <c r="D825" s="1"/>
      <c r="E825" s="1"/>
      <c r="F825" s="1"/>
      <c r="G825" s="7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25">
      <c r="A826" s="1"/>
      <c r="B826" s="9"/>
      <c r="C826" s="11"/>
      <c r="D826" s="1"/>
      <c r="E826" s="1"/>
      <c r="F826" s="1"/>
      <c r="G826" s="7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25">
      <c r="A827" s="1"/>
      <c r="B827" s="9"/>
      <c r="C827" s="11"/>
      <c r="D827" s="1"/>
      <c r="E827" s="1"/>
      <c r="F827" s="1"/>
      <c r="G827" s="7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25">
      <c r="A828" s="1"/>
      <c r="B828" s="9"/>
      <c r="C828" s="11"/>
      <c r="D828" s="1"/>
      <c r="E828" s="1"/>
      <c r="F828" s="1"/>
      <c r="G828" s="7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25">
      <c r="A829" s="1"/>
      <c r="B829" s="9"/>
      <c r="C829" s="11"/>
      <c r="D829" s="1"/>
      <c r="E829" s="1"/>
      <c r="F829" s="1"/>
      <c r="G829" s="7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25">
      <c r="A830" s="1"/>
      <c r="B830" s="9"/>
      <c r="C830" s="11"/>
      <c r="D830" s="1"/>
      <c r="E830" s="1"/>
      <c r="F830" s="1"/>
      <c r="G830" s="7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25">
      <c r="A831" s="1"/>
      <c r="B831" s="9"/>
      <c r="C831" s="11"/>
      <c r="D831" s="1"/>
      <c r="E831" s="1"/>
      <c r="F831" s="1"/>
      <c r="G831" s="7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25">
      <c r="A832" s="1"/>
      <c r="B832" s="9"/>
      <c r="C832" s="11"/>
      <c r="D832" s="1"/>
      <c r="E832" s="1"/>
      <c r="F832" s="1"/>
      <c r="G832" s="7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25">
      <c r="A833" s="1"/>
      <c r="B833" s="9"/>
      <c r="C833" s="11"/>
      <c r="D833" s="1"/>
      <c r="E833" s="1"/>
      <c r="F833" s="1"/>
      <c r="G833" s="7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25">
      <c r="A834" s="1"/>
      <c r="B834" s="9"/>
      <c r="C834" s="11"/>
      <c r="D834" s="1"/>
      <c r="E834" s="1"/>
      <c r="F834" s="1"/>
      <c r="G834" s="7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25">
      <c r="A835" s="1"/>
      <c r="B835" s="9"/>
      <c r="C835" s="11"/>
      <c r="D835" s="1"/>
      <c r="E835" s="1"/>
      <c r="F835" s="1"/>
      <c r="G835" s="7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25">
      <c r="A836" s="1"/>
      <c r="B836" s="9"/>
      <c r="C836" s="11"/>
      <c r="D836" s="1"/>
      <c r="E836" s="1"/>
      <c r="F836" s="1"/>
      <c r="G836" s="7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25">
      <c r="A837" s="1"/>
      <c r="B837" s="9"/>
      <c r="C837" s="11"/>
      <c r="D837" s="1"/>
      <c r="E837" s="1"/>
      <c r="F837" s="1"/>
      <c r="G837" s="7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25">
      <c r="A838" s="1"/>
      <c r="B838" s="9"/>
      <c r="C838" s="11"/>
      <c r="D838" s="1"/>
      <c r="E838" s="1"/>
      <c r="F838" s="1"/>
      <c r="G838" s="7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25">
      <c r="A839" s="1"/>
      <c r="B839" s="9"/>
      <c r="C839" s="11"/>
      <c r="D839" s="1"/>
      <c r="E839" s="1"/>
      <c r="F839" s="1"/>
      <c r="G839" s="7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25">
      <c r="A840" s="1"/>
      <c r="B840" s="9"/>
      <c r="C840" s="11"/>
      <c r="D840" s="1"/>
      <c r="E840" s="1"/>
      <c r="F840" s="1"/>
      <c r="G840" s="7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25">
      <c r="A841" s="1"/>
      <c r="B841" s="9"/>
      <c r="C841" s="11"/>
      <c r="D841" s="1"/>
      <c r="E841" s="1"/>
      <c r="F841" s="1"/>
      <c r="G841" s="7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25">
      <c r="A842" s="1"/>
      <c r="B842" s="9"/>
      <c r="C842" s="11"/>
      <c r="D842" s="1"/>
      <c r="E842" s="1"/>
      <c r="F842" s="1"/>
      <c r="G842" s="7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25">
      <c r="A843" s="1"/>
      <c r="B843" s="9"/>
      <c r="C843" s="11"/>
      <c r="D843" s="1"/>
      <c r="E843" s="1"/>
      <c r="F843" s="1"/>
      <c r="G843" s="7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25">
      <c r="A844" s="1"/>
      <c r="B844" s="9"/>
      <c r="C844" s="11"/>
      <c r="D844" s="1"/>
      <c r="E844" s="1"/>
      <c r="F844" s="1"/>
      <c r="G844" s="7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25">
      <c r="A845" s="1"/>
      <c r="B845" s="9"/>
      <c r="C845" s="11"/>
      <c r="D845" s="1"/>
      <c r="E845" s="1"/>
      <c r="F845" s="1"/>
      <c r="G845" s="7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25">
      <c r="A846" s="1"/>
      <c r="B846" s="9"/>
      <c r="C846" s="11"/>
      <c r="D846" s="1"/>
      <c r="E846" s="1"/>
      <c r="F846" s="1"/>
      <c r="G846" s="7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25">
      <c r="A847" s="1"/>
      <c r="B847" s="9"/>
      <c r="C847" s="11"/>
      <c r="D847" s="1"/>
      <c r="E847" s="1"/>
      <c r="F847" s="1"/>
      <c r="G847" s="7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25">
      <c r="A848" s="1"/>
      <c r="B848" s="9"/>
      <c r="C848" s="11"/>
      <c r="D848" s="1"/>
      <c r="E848" s="1"/>
      <c r="F848" s="1"/>
      <c r="G848" s="7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25">
      <c r="A849" s="1"/>
      <c r="B849" s="9"/>
      <c r="C849" s="11"/>
      <c r="D849" s="1"/>
      <c r="E849" s="1"/>
      <c r="F849" s="1"/>
      <c r="G849" s="7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25">
      <c r="A850" s="1"/>
      <c r="B850" s="9"/>
      <c r="C850" s="11"/>
      <c r="D850" s="1"/>
      <c r="E850" s="1"/>
      <c r="F850" s="1"/>
      <c r="G850" s="7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25">
      <c r="A851" s="1"/>
      <c r="B851" s="9"/>
      <c r="C851" s="11"/>
      <c r="D851" s="1"/>
      <c r="E851" s="1"/>
      <c r="F851" s="1"/>
      <c r="G851" s="7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25">
      <c r="A852" s="1"/>
      <c r="B852" s="9"/>
      <c r="C852" s="11"/>
      <c r="D852" s="1"/>
      <c r="E852" s="1"/>
      <c r="F852" s="1"/>
      <c r="G852" s="7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25">
      <c r="A853" s="1"/>
      <c r="B853" s="9"/>
      <c r="C853" s="11"/>
      <c r="D853" s="1"/>
      <c r="E853" s="1"/>
      <c r="F853" s="1"/>
      <c r="G853" s="7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25">
      <c r="A854" s="1"/>
      <c r="B854" s="9"/>
      <c r="C854" s="11"/>
      <c r="D854" s="1"/>
      <c r="E854" s="1"/>
      <c r="F854" s="1"/>
      <c r="G854" s="7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25">
      <c r="A855" s="1"/>
      <c r="B855" s="9"/>
      <c r="C855" s="11"/>
      <c r="D855" s="1"/>
      <c r="E855" s="1"/>
      <c r="F855" s="1"/>
      <c r="G855" s="7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25">
      <c r="A856" s="1"/>
      <c r="B856" s="9"/>
      <c r="C856" s="11"/>
      <c r="D856" s="1"/>
      <c r="E856" s="1"/>
      <c r="F856" s="1"/>
      <c r="G856" s="7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25">
      <c r="A857" s="1"/>
      <c r="B857" s="9"/>
      <c r="C857" s="11"/>
      <c r="D857" s="1"/>
      <c r="E857" s="1"/>
      <c r="F857" s="1"/>
      <c r="G857" s="7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25">
      <c r="A858" s="1"/>
      <c r="B858" s="9"/>
      <c r="C858" s="11"/>
      <c r="D858" s="1"/>
      <c r="E858" s="1"/>
      <c r="F858" s="1"/>
      <c r="G858" s="7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25">
      <c r="A859" s="1"/>
      <c r="B859" s="9"/>
      <c r="C859" s="11"/>
      <c r="D859" s="1"/>
      <c r="E859" s="1"/>
      <c r="F859" s="1"/>
      <c r="G859" s="7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25">
      <c r="A860" s="1"/>
      <c r="B860" s="9"/>
      <c r="C860" s="11"/>
      <c r="D860" s="1"/>
      <c r="E860" s="1"/>
      <c r="F860" s="1"/>
      <c r="G860" s="7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25">
      <c r="A861" s="1"/>
      <c r="B861" s="9"/>
      <c r="C861" s="11"/>
      <c r="D861" s="1"/>
      <c r="E861" s="1"/>
      <c r="F861" s="1"/>
      <c r="G861" s="7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25">
      <c r="A862" s="1"/>
      <c r="B862" s="9"/>
      <c r="C862" s="11"/>
      <c r="D862" s="1"/>
      <c r="E862" s="1"/>
      <c r="F862" s="1"/>
      <c r="G862" s="7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25">
      <c r="A863" s="1"/>
      <c r="B863" s="9"/>
      <c r="C863" s="11"/>
      <c r="D863" s="1"/>
      <c r="E863" s="1"/>
      <c r="F863" s="1"/>
      <c r="G863" s="7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25">
      <c r="A864" s="1"/>
      <c r="B864" s="9"/>
      <c r="C864" s="11"/>
      <c r="D864" s="1"/>
      <c r="E864" s="1"/>
      <c r="F864" s="1"/>
      <c r="G864" s="7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25">
      <c r="A865" s="1"/>
      <c r="B865" s="9"/>
      <c r="C865" s="11"/>
      <c r="D865" s="1"/>
      <c r="E865" s="1"/>
      <c r="F865" s="1"/>
      <c r="G865" s="7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25">
      <c r="A866" s="1"/>
      <c r="B866" s="9"/>
      <c r="C866" s="11"/>
      <c r="D866" s="1"/>
      <c r="E866" s="1"/>
      <c r="F866" s="1"/>
      <c r="G866" s="7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25">
      <c r="A867" s="1"/>
      <c r="B867" s="9"/>
      <c r="C867" s="11"/>
      <c r="D867" s="1"/>
      <c r="E867" s="1"/>
      <c r="F867" s="1"/>
      <c r="G867" s="7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25">
      <c r="A868" s="1"/>
      <c r="B868" s="9"/>
      <c r="C868" s="11"/>
      <c r="D868" s="1"/>
      <c r="E868" s="1"/>
      <c r="F868" s="1"/>
      <c r="G868" s="7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25">
      <c r="A869" s="1"/>
      <c r="B869" s="9"/>
      <c r="C869" s="11"/>
      <c r="D869" s="1"/>
      <c r="E869" s="1"/>
      <c r="F869" s="1"/>
      <c r="G869" s="7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25">
      <c r="A870" s="1"/>
      <c r="B870" s="9"/>
      <c r="C870" s="11"/>
      <c r="D870" s="1"/>
      <c r="E870" s="1"/>
      <c r="F870" s="1"/>
      <c r="G870" s="7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25">
      <c r="A871" s="1"/>
      <c r="B871" s="9"/>
      <c r="C871" s="11"/>
      <c r="D871" s="1"/>
      <c r="E871" s="1"/>
      <c r="F871" s="1"/>
      <c r="G871" s="7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25">
      <c r="A872" s="1"/>
      <c r="B872" s="9"/>
      <c r="C872" s="11"/>
      <c r="D872" s="1"/>
      <c r="E872" s="1"/>
      <c r="F872" s="1"/>
      <c r="G872" s="7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25">
      <c r="A873" s="1"/>
      <c r="B873" s="9"/>
      <c r="C873" s="11"/>
      <c r="D873" s="1"/>
      <c r="E873" s="1"/>
      <c r="F873" s="1"/>
      <c r="G873" s="7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25">
      <c r="A874" s="1"/>
      <c r="B874" s="9"/>
      <c r="C874" s="11"/>
      <c r="D874" s="1"/>
      <c r="E874" s="1"/>
      <c r="F874" s="1"/>
      <c r="G874" s="7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25">
      <c r="A875" s="1"/>
      <c r="B875" s="9"/>
      <c r="C875" s="11"/>
      <c r="D875" s="1"/>
      <c r="E875" s="1"/>
      <c r="F875" s="1"/>
      <c r="G875" s="7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25">
      <c r="A876" s="1"/>
      <c r="B876" s="9"/>
      <c r="C876" s="11"/>
      <c r="D876" s="1"/>
      <c r="E876" s="1"/>
      <c r="F876" s="1"/>
      <c r="G876" s="7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25">
      <c r="A877" s="1"/>
      <c r="B877" s="9"/>
      <c r="C877" s="11"/>
      <c r="D877" s="1"/>
      <c r="E877" s="1"/>
      <c r="F877" s="1"/>
      <c r="G877" s="7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25">
      <c r="A878" s="1"/>
      <c r="B878" s="9"/>
      <c r="C878" s="11"/>
      <c r="D878" s="1"/>
      <c r="E878" s="1"/>
      <c r="F878" s="1"/>
      <c r="G878" s="7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25">
      <c r="A879" s="1"/>
      <c r="B879" s="9"/>
      <c r="C879" s="11"/>
      <c r="D879" s="1"/>
      <c r="E879" s="1"/>
      <c r="F879" s="1"/>
      <c r="G879" s="7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25">
      <c r="A880" s="1"/>
      <c r="B880" s="9"/>
      <c r="C880" s="11"/>
      <c r="D880" s="1"/>
      <c r="E880" s="1"/>
      <c r="F880" s="1"/>
      <c r="G880" s="7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25">
      <c r="A881" s="1"/>
      <c r="B881" s="9"/>
      <c r="C881" s="11"/>
      <c r="D881" s="1"/>
      <c r="E881" s="1"/>
      <c r="F881" s="1"/>
      <c r="G881" s="7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25">
      <c r="A882" s="1"/>
      <c r="B882" s="9"/>
      <c r="C882" s="11"/>
      <c r="D882" s="1"/>
      <c r="E882" s="1"/>
      <c r="F882" s="1"/>
      <c r="G882" s="7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25">
      <c r="A883" s="1"/>
      <c r="B883" s="9"/>
      <c r="C883" s="11"/>
      <c r="D883" s="1"/>
      <c r="E883" s="1"/>
      <c r="F883" s="1"/>
      <c r="G883" s="7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25">
      <c r="A884" s="1"/>
      <c r="B884" s="9"/>
      <c r="C884" s="11"/>
      <c r="D884" s="1"/>
      <c r="E884" s="1"/>
      <c r="F884" s="1"/>
      <c r="G884" s="7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25">
      <c r="A885" s="1"/>
      <c r="B885" s="9"/>
      <c r="C885" s="11"/>
      <c r="D885" s="1"/>
      <c r="E885" s="1"/>
      <c r="F885" s="1"/>
      <c r="G885" s="7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25">
      <c r="A886" s="1"/>
      <c r="B886" s="9"/>
      <c r="C886" s="11"/>
      <c r="D886" s="1"/>
      <c r="E886" s="1"/>
      <c r="F886" s="1"/>
      <c r="G886" s="7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25">
      <c r="A887" s="1"/>
      <c r="B887" s="9"/>
      <c r="C887" s="11"/>
      <c r="D887" s="1"/>
      <c r="E887" s="1"/>
      <c r="F887" s="1"/>
      <c r="G887" s="7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25">
      <c r="A888" s="1"/>
      <c r="B888" s="9"/>
      <c r="C888" s="11"/>
      <c r="D888" s="1"/>
      <c r="E888" s="1"/>
      <c r="F888" s="1"/>
      <c r="G888" s="7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25">
      <c r="A889" s="1"/>
      <c r="B889" s="9"/>
      <c r="C889" s="11"/>
      <c r="D889" s="1"/>
      <c r="E889" s="1"/>
      <c r="F889" s="1"/>
      <c r="G889" s="7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25">
      <c r="A890" s="1"/>
      <c r="B890" s="9"/>
      <c r="C890" s="11"/>
      <c r="D890" s="1"/>
      <c r="E890" s="1"/>
      <c r="F890" s="1"/>
      <c r="G890" s="7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25">
      <c r="A891" s="1"/>
      <c r="B891" s="9"/>
      <c r="C891" s="11"/>
      <c r="D891" s="1"/>
      <c r="E891" s="1"/>
      <c r="F891" s="1"/>
      <c r="G891" s="7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25">
      <c r="A892" s="1"/>
      <c r="B892" s="9"/>
      <c r="C892" s="11"/>
      <c r="D892" s="1"/>
      <c r="E892" s="1"/>
      <c r="F892" s="1"/>
      <c r="G892" s="7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25">
      <c r="A893" s="1"/>
      <c r="B893" s="9"/>
      <c r="C893" s="11"/>
      <c r="D893" s="1"/>
      <c r="E893" s="1"/>
      <c r="F893" s="1"/>
      <c r="G893" s="7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25">
      <c r="A894" s="1"/>
      <c r="B894" s="9"/>
      <c r="C894" s="11"/>
      <c r="D894" s="1"/>
      <c r="E894" s="1"/>
      <c r="F894" s="1"/>
      <c r="G894" s="7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25">
      <c r="A895" s="1"/>
      <c r="B895" s="9"/>
      <c r="C895" s="11"/>
      <c r="D895" s="1"/>
      <c r="E895" s="1"/>
      <c r="F895" s="1"/>
      <c r="G895" s="7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25">
      <c r="A896" s="1"/>
      <c r="B896" s="9"/>
      <c r="C896" s="11"/>
      <c r="D896" s="1"/>
      <c r="E896" s="1"/>
      <c r="F896" s="1"/>
      <c r="G896" s="7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25">
      <c r="A897" s="1"/>
      <c r="B897" s="9"/>
      <c r="C897" s="11"/>
      <c r="D897" s="1"/>
      <c r="E897" s="1"/>
      <c r="F897" s="1"/>
      <c r="G897" s="7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25">
      <c r="A898" s="1"/>
      <c r="B898" s="9"/>
      <c r="C898" s="11"/>
      <c r="D898" s="1"/>
      <c r="E898" s="1"/>
      <c r="F898" s="1"/>
      <c r="G898" s="7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25">
      <c r="A899" s="1"/>
      <c r="B899" s="9"/>
      <c r="C899" s="11"/>
      <c r="D899" s="1"/>
      <c r="E899" s="1"/>
      <c r="F899" s="1"/>
      <c r="G899" s="7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25">
      <c r="A900" s="1"/>
      <c r="B900" s="9"/>
      <c r="C900" s="11"/>
      <c r="D900" s="1"/>
      <c r="E900" s="1"/>
      <c r="F900" s="1"/>
      <c r="G900" s="7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25">
      <c r="A901" s="1"/>
      <c r="B901" s="9"/>
      <c r="C901" s="11"/>
      <c r="D901" s="1"/>
      <c r="E901" s="1"/>
      <c r="F901" s="1"/>
      <c r="G901" s="7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25">
      <c r="A902" s="1"/>
      <c r="B902" s="9"/>
      <c r="C902" s="11"/>
      <c r="D902" s="1"/>
      <c r="E902" s="1"/>
      <c r="F902" s="1"/>
      <c r="G902" s="7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25">
      <c r="A903" s="1"/>
      <c r="B903" s="9"/>
      <c r="C903" s="11"/>
      <c r="D903" s="1"/>
      <c r="E903" s="1"/>
      <c r="F903" s="1"/>
      <c r="G903" s="7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25">
      <c r="A904" s="1"/>
      <c r="B904" s="9"/>
      <c r="C904" s="11"/>
      <c r="D904" s="1"/>
      <c r="E904" s="1"/>
      <c r="F904" s="1"/>
      <c r="G904" s="7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25">
      <c r="A905" s="1"/>
      <c r="B905" s="9"/>
      <c r="C905" s="11"/>
      <c r="D905" s="1"/>
      <c r="E905" s="1"/>
      <c r="F905" s="1"/>
      <c r="G905" s="7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25">
      <c r="A906" s="1"/>
      <c r="B906" s="9"/>
      <c r="C906" s="11"/>
      <c r="D906" s="1"/>
      <c r="E906" s="1"/>
      <c r="F906" s="1"/>
      <c r="G906" s="7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25">
      <c r="A907" s="1"/>
      <c r="B907" s="9"/>
      <c r="C907" s="11"/>
      <c r="D907" s="1"/>
      <c r="E907" s="1"/>
      <c r="F907" s="1"/>
      <c r="G907" s="7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25">
      <c r="A908" s="1"/>
      <c r="B908" s="9"/>
      <c r="C908" s="11"/>
      <c r="D908" s="1"/>
      <c r="E908" s="1"/>
      <c r="F908" s="1"/>
      <c r="G908" s="7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25">
      <c r="A909" s="1"/>
      <c r="B909" s="9"/>
      <c r="C909" s="11"/>
      <c r="D909" s="1"/>
      <c r="E909" s="1"/>
      <c r="F909" s="1"/>
      <c r="G909" s="7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25">
      <c r="A910" s="1"/>
      <c r="B910" s="9"/>
      <c r="C910" s="11"/>
      <c r="D910" s="1"/>
      <c r="E910" s="1"/>
      <c r="F910" s="1"/>
      <c r="G910" s="7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25">
      <c r="A911" s="1"/>
      <c r="B911" s="9"/>
      <c r="C911" s="11"/>
      <c r="D911" s="1"/>
      <c r="E911" s="1"/>
      <c r="F911" s="1"/>
      <c r="G911" s="7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25">
      <c r="A912" s="1"/>
      <c r="B912" s="9"/>
      <c r="C912" s="11"/>
      <c r="D912" s="1"/>
      <c r="E912" s="1"/>
      <c r="F912" s="1"/>
      <c r="G912" s="7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25">
      <c r="A913" s="1"/>
      <c r="B913" s="9"/>
      <c r="C913" s="11"/>
      <c r="D913" s="1"/>
      <c r="E913" s="1"/>
      <c r="F913" s="1"/>
      <c r="G913" s="7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25">
      <c r="A914" s="1"/>
      <c r="B914" s="9"/>
      <c r="C914" s="11"/>
      <c r="D914" s="1"/>
      <c r="E914" s="1"/>
      <c r="F914" s="1"/>
      <c r="G914" s="7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25">
      <c r="A915" s="1"/>
      <c r="B915" s="9"/>
      <c r="C915" s="11"/>
      <c r="D915" s="1"/>
      <c r="E915" s="1"/>
      <c r="F915" s="1"/>
      <c r="G915" s="7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25">
      <c r="A916" s="1"/>
      <c r="B916" s="9"/>
      <c r="C916" s="11"/>
      <c r="D916" s="1"/>
      <c r="E916" s="1"/>
      <c r="F916" s="1"/>
      <c r="G916" s="7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25">
      <c r="A917" s="1"/>
      <c r="B917" s="9"/>
      <c r="C917" s="11"/>
      <c r="D917" s="1"/>
      <c r="E917" s="1"/>
      <c r="F917" s="1"/>
      <c r="G917" s="7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25">
      <c r="A918" s="1"/>
      <c r="B918" s="9"/>
      <c r="C918" s="11"/>
      <c r="D918" s="1"/>
      <c r="E918" s="1"/>
      <c r="F918" s="1"/>
      <c r="G918" s="7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25">
      <c r="A919" s="1"/>
      <c r="B919" s="9"/>
      <c r="C919" s="11"/>
      <c r="D919" s="1"/>
      <c r="E919" s="1"/>
      <c r="F919" s="1"/>
      <c r="G919" s="7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25">
      <c r="A920" s="1"/>
      <c r="B920" s="9"/>
      <c r="C920" s="11"/>
      <c r="D920" s="1"/>
      <c r="E920" s="1"/>
      <c r="F920" s="1"/>
      <c r="G920" s="7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25">
      <c r="A921" s="1"/>
      <c r="B921" s="9"/>
      <c r="C921" s="11"/>
      <c r="D921" s="1"/>
      <c r="E921" s="1"/>
      <c r="F921" s="1"/>
      <c r="G921" s="7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25">
      <c r="A922" s="1"/>
      <c r="B922" s="9"/>
      <c r="C922" s="11"/>
      <c r="D922" s="1"/>
      <c r="E922" s="1"/>
      <c r="F922" s="1"/>
      <c r="G922" s="7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25">
      <c r="A923" s="1"/>
      <c r="B923" s="9"/>
      <c r="C923" s="11"/>
      <c r="D923" s="1"/>
      <c r="E923" s="1"/>
      <c r="F923" s="1"/>
      <c r="G923" s="7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25">
      <c r="A924" s="1"/>
      <c r="B924" s="9"/>
      <c r="C924" s="11"/>
      <c r="D924" s="1"/>
      <c r="E924" s="1"/>
      <c r="F924" s="1"/>
      <c r="G924" s="7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25">
      <c r="A925" s="1"/>
      <c r="B925" s="9"/>
      <c r="C925" s="11"/>
      <c r="D925" s="1"/>
      <c r="E925" s="1"/>
      <c r="F925" s="1"/>
      <c r="G925" s="7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25">
      <c r="A926" s="1"/>
      <c r="B926" s="9"/>
      <c r="C926" s="11"/>
      <c r="D926" s="1"/>
      <c r="E926" s="1"/>
      <c r="F926" s="1"/>
      <c r="G926" s="7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25">
      <c r="A927" s="1"/>
      <c r="B927" s="9"/>
      <c r="C927" s="11"/>
      <c r="D927" s="1"/>
      <c r="E927" s="1"/>
      <c r="F927" s="1"/>
      <c r="G927" s="7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25">
      <c r="A928" s="1"/>
      <c r="B928" s="9"/>
      <c r="C928" s="11"/>
      <c r="D928" s="1"/>
      <c r="E928" s="1"/>
      <c r="F928" s="1"/>
      <c r="G928" s="7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25">
      <c r="A929" s="1"/>
      <c r="B929" s="9"/>
      <c r="C929" s="11"/>
      <c r="D929" s="1"/>
      <c r="E929" s="1"/>
      <c r="F929" s="1"/>
      <c r="G929" s="7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25">
      <c r="A930" s="1"/>
      <c r="B930" s="9"/>
      <c r="C930" s="11"/>
      <c r="D930" s="1"/>
      <c r="E930" s="1"/>
      <c r="F930" s="1"/>
      <c r="G930" s="7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25">
      <c r="A931" s="1"/>
      <c r="B931" s="9"/>
      <c r="C931" s="11"/>
      <c r="D931" s="1"/>
      <c r="E931" s="1"/>
      <c r="F931" s="1"/>
      <c r="G931" s="7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25">
      <c r="A932" s="1"/>
      <c r="B932" s="9"/>
      <c r="C932" s="11"/>
      <c r="D932" s="1"/>
      <c r="E932" s="1"/>
      <c r="F932" s="1"/>
      <c r="G932" s="7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25">
      <c r="A933" s="1"/>
      <c r="B933" s="9"/>
      <c r="C933" s="11"/>
      <c r="D933" s="1"/>
      <c r="E933" s="1"/>
      <c r="F933" s="1"/>
      <c r="G933" s="7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25">
      <c r="A934" s="1"/>
      <c r="B934" s="9"/>
      <c r="C934" s="11"/>
      <c r="D934" s="1"/>
      <c r="E934" s="1"/>
      <c r="F934" s="1"/>
      <c r="G934" s="7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25">
      <c r="A935" s="1"/>
      <c r="B935" s="9"/>
      <c r="C935" s="11"/>
      <c r="D935" s="1"/>
      <c r="E935" s="1"/>
      <c r="F935" s="1"/>
      <c r="G935" s="7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25">
      <c r="A936" s="1"/>
      <c r="B936" s="9"/>
      <c r="C936" s="11"/>
      <c r="D936" s="1"/>
      <c r="E936" s="1"/>
      <c r="F936" s="1"/>
      <c r="G936" s="7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25">
      <c r="A937" s="1"/>
      <c r="B937" s="9"/>
      <c r="C937" s="11"/>
      <c r="D937" s="1"/>
      <c r="E937" s="1"/>
      <c r="F937" s="1"/>
      <c r="G937" s="7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25">
      <c r="A938" s="1"/>
      <c r="B938" s="9"/>
      <c r="C938" s="11"/>
      <c r="D938" s="1"/>
      <c r="E938" s="1"/>
      <c r="F938" s="1"/>
      <c r="G938" s="7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25">
      <c r="A939" s="1"/>
      <c r="B939" s="9"/>
      <c r="C939" s="11"/>
      <c r="D939" s="1"/>
      <c r="E939" s="1"/>
      <c r="F939" s="1"/>
      <c r="G939" s="7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25">
      <c r="A940" s="1"/>
      <c r="B940" s="9"/>
      <c r="C940" s="11"/>
      <c r="D940" s="1"/>
      <c r="E940" s="1"/>
      <c r="F940" s="1"/>
      <c r="G940" s="7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25">
      <c r="A941" s="1"/>
      <c r="B941" s="9"/>
      <c r="C941" s="11"/>
      <c r="D941" s="1"/>
      <c r="E941" s="1"/>
      <c r="F941" s="1"/>
      <c r="G941" s="7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25">
      <c r="A942" s="1"/>
      <c r="B942" s="9"/>
      <c r="C942" s="11"/>
      <c r="D942" s="1"/>
      <c r="E942" s="1"/>
      <c r="F942" s="1"/>
      <c r="G942" s="7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25">
      <c r="A943" s="1"/>
      <c r="B943" s="9"/>
      <c r="C943" s="11"/>
      <c r="D943" s="1"/>
      <c r="E943" s="1"/>
      <c r="F943" s="1"/>
      <c r="G943" s="7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25">
      <c r="A944" s="1"/>
      <c r="B944" s="9"/>
      <c r="C944" s="11"/>
      <c r="D944" s="1"/>
      <c r="E944" s="1"/>
      <c r="F944" s="1"/>
      <c r="G944" s="7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25">
      <c r="A945" s="1"/>
      <c r="B945" s="9"/>
      <c r="C945" s="11"/>
      <c r="D945" s="1"/>
      <c r="E945" s="1"/>
      <c r="F945" s="1"/>
      <c r="G945" s="7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25">
      <c r="A946" s="1"/>
      <c r="B946" s="9"/>
      <c r="C946" s="11"/>
      <c r="D946" s="1"/>
      <c r="E946" s="1"/>
      <c r="F946" s="1"/>
      <c r="G946" s="7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25">
      <c r="A947" s="1"/>
      <c r="B947" s="9"/>
      <c r="C947" s="11"/>
      <c r="D947" s="1"/>
      <c r="E947" s="1"/>
      <c r="F947" s="1"/>
      <c r="G947" s="7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25">
      <c r="A948" s="1"/>
      <c r="B948" s="9"/>
      <c r="C948" s="11"/>
      <c r="D948" s="1"/>
      <c r="E948" s="1"/>
      <c r="F948" s="1"/>
      <c r="G948" s="7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25">
      <c r="A949" s="1"/>
      <c r="B949" s="9"/>
      <c r="C949" s="11"/>
      <c r="D949" s="1"/>
      <c r="E949" s="1"/>
      <c r="F949" s="1"/>
      <c r="G949" s="7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25">
      <c r="A950" s="1"/>
      <c r="B950" s="9"/>
      <c r="C950" s="11"/>
      <c r="D950" s="1"/>
      <c r="E950" s="1"/>
      <c r="F950" s="1"/>
      <c r="G950" s="7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25">
      <c r="A951" s="1"/>
      <c r="B951" s="9"/>
      <c r="C951" s="11"/>
      <c r="D951" s="1"/>
      <c r="E951" s="1"/>
      <c r="F951" s="1"/>
      <c r="G951" s="7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25">
      <c r="A952" s="1"/>
      <c r="B952" s="9"/>
      <c r="C952" s="11"/>
      <c r="D952" s="1"/>
      <c r="E952" s="1"/>
      <c r="F952" s="1"/>
      <c r="G952" s="7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25">
      <c r="A953" s="1"/>
      <c r="B953" s="9"/>
      <c r="C953" s="11"/>
      <c r="D953" s="1"/>
      <c r="E953" s="1"/>
      <c r="F953" s="1"/>
      <c r="G953" s="7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25">
      <c r="A954" s="1"/>
      <c r="B954" s="9"/>
      <c r="C954" s="11"/>
      <c r="D954" s="1"/>
      <c r="E954" s="1"/>
      <c r="F954" s="1"/>
      <c r="G954" s="7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25">
      <c r="A955" s="1"/>
      <c r="B955" s="9"/>
      <c r="C955" s="11"/>
      <c r="D955" s="1"/>
      <c r="E955" s="1"/>
      <c r="F955" s="1"/>
      <c r="G955" s="7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25">
      <c r="A956" s="1"/>
      <c r="B956" s="9"/>
      <c r="C956" s="11"/>
      <c r="D956" s="1"/>
      <c r="E956" s="1"/>
      <c r="F956" s="1"/>
      <c r="G956" s="7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25">
      <c r="A957" s="1"/>
      <c r="B957" s="9"/>
      <c r="C957" s="11"/>
      <c r="D957" s="1"/>
      <c r="E957" s="1"/>
      <c r="F957" s="1"/>
      <c r="G957" s="7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25">
      <c r="A958" s="1"/>
      <c r="B958" s="9"/>
      <c r="C958" s="11"/>
      <c r="D958" s="1"/>
      <c r="E958" s="1"/>
      <c r="F958" s="1"/>
      <c r="G958" s="7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25">
      <c r="A959" s="1"/>
      <c r="B959" s="9"/>
      <c r="C959" s="11"/>
      <c r="D959" s="1"/>
      <c r="E959" s="1"/>
      <c r="F959" s="1"/>
      <c r="G959" s="7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25">
      <c r="A960" s="1"/>
      <c r="B960" s="9"/>
      <c r="C960" s="11"/>
      <c r="D960" s="1"/>
      <c r="E960" s="1"/>
      <c r="F960" s="1"/>
      <c r="G960" s="7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25">
      <c r="A961" s="1"/>
      <c r="B961" s="9"/>
      <c r="C961" s="11"/>
      <c r="D961" s="1"/>
      <c r="E961" s="1"/>
      <c r="F961" s="1"/>
      <c r="G961" s="7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25">
      <c r="A962" s="1"/>
      <c r="B962" s="9"/>
      <c r="C962" s="11"/>
      <c r="D962" s="1"/>
      <c r="E962" s="1"/>
      <c r="F962" s="1"/>
      <c r="G962" s="7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25">
      <c r="A963" s="1"/>
      <c r="B963" s="9"/>
      <c r="C963" s="11"/>
      <c r="D963" s="1"/>
      <c r="E963" s="1"/>
      <c r="F963" s="1"/>
      <c r="G963" s="7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25">
      <c r="A964" s="1"/>
      <c r="B964" s="9"/>
      <c r="C964" s="11"/>
      <c r="D964" s="1"/>
      <c r="E964" s="1"/>
      <c r="F964" s="1"/>
      <c r="G964" s="7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25">
      <c r="A965" s="1"/>
      <c r="B965" s="9"/>
      <c r="C965" s="11"/>
      <c r="D965" s="1"/>
      <c r="E965" s="1"/>
      <c r="F965" s="1"/>
      <c r="G965" s="7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25">
      <c r="A966" s="1"/>
      <c r="B966" s="9"/>
      <c r="C966" s="11"/>
      <c r="D966" s="1"/>
      <c r="E966" s="1"/>
      <c r="F966" s="1"/>
      <c r="G966" s="7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25">
      <c r="A967" s="1"/>
      <c r="B967" s="9"/>
      <c r="C967" s="11"/>
      <c r="D967" s="1"/>
      <c r="E967" s="1"/>
      <c r="F967" s="1"/>
      <c r="G967" s="7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25">
      <c r="A968" s="1"/>
      <c r="B968" s="9"/>
      <c r="C968" s="11"/>
      <c r="D968" s="1"/>
      <c r="E968" s="1"/>
      <c r="F968" s="1"/>
      <c r="G968" s="7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25">
      <c r="A969" s="1"/>
      <c r="B969" s="9"/>
      <c r="C969" s="11"/>
      <c r="D969" s="1"/>
      <c r="E969" s="1"/>
      <c r="F969" s="1"/>
      <c r="G969" s="7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25">
      <c r="A970" s="1"/>
      <c r="B970" s="9"/>
      <c r="C970" s="11"/>
      <c r="D970" s="1"/>
      <c r="E970" s="1"/>
      <c r="F970" s="1"/>
      <c r="G970" s="7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25">
      <c r="A971" s="1"/>
      <c r="B971" s="9"/>
      <c r="C971" s="11"/>
      <c r="D971" s="1"/>
      <c r="E971" s="1"/>
      <c r="F971" s="1"/>
      <c r="G971" s="7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25">
      <c r="A972" s="1"/>
      <c r="B972" s="9"/>
      <c r="C972" s="11"/>
      <c r="D972" s="1"/>
      <c r="E972" s="1"/>
      <c r="F972" s="1"/>
      <c r="G972" s="7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25">
      <c r="A973" s="1"/>
      <c r="B973" s="9"/>
      <c r="C973" s="11"/>
      <c r="D973" s="1"/>
      <c r="E973" s="1"/>
      <c r="F973" s="1"/>
      <c r="G973" s="7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25">
      <c r="A974" s="1"/>
      <c r="B974" s="9"/>
      <c r="C974" s="11"/>
      <c r="D974" s="1"/>
      <c r="E974" s="1"/>
      <c r="F974" s="1"/>
      <c r="G974" s="7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25">
      <c r="A975" s="1"/>
      <c r="B975" s="9"/>
      <c r="C975" s="11"/>
      <c r="D975" s="1"/>
      <c r="E975" s="1"/>
      <c r="F975" s="1"/>
      <c r="G975" s="7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25">
      <c r="A976" s="1"/>
      <c r="B976" s="9"/>
      <c r="C976" s="11"/>
      <c r="D976" s="1"/>
      <c r="E976" s="1"/>
      <c r="F976" s="1"/>
      <c r="G976" s="7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25">
      <c r="A977" s="1"/>
      <c r="B977" s="9"/>
      <c r="C977" s="11"/>
      <c r="D977" s="1"/>
      <c r="E977" s="1"/>
      <c r="F977" s="1"/>
      <c r="G977" s="7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25">
      <c r="A978" s="1"/>
      <c r="B978" s="9"/>
      <c r="C978" s="11"/>
      <c r="D978" s="1"/>
      <c r="E978" s="1"/>
      <c r="F978" s="1"/>
      <c r="G978" s="7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25">
      <c r="A979" s="1"/>
      <c r="B979" s="9"/>
      <c r="C979" s="11"/>
      <c r="D979" s="1"/>
      <c r="E979" s="1"/>
      <c r="F979" s="1"/>
      <c r="G979" s="7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25">
      <c r="A980" s="1"/>
      <c r="B980" s="9"/>
      <c r="C980" s="11"/>
      <c r="D980" s="1"/>
      <c r="E980" s="1"/>
      <c r="F980" s="1"/>
      <c r="G980" s="7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25">
      <c r="A981" s="1"/>
      <c r="B981" s="9"/>
      <c r="C981" s="11"/>
      <c r="D981" s="1"/>
      <c r="E981" s="1"/>
      <c r="F981" s="1"/>
      <c r="G981" s="7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25">
      <c r="A982" s="1"/>
      <c r="B982" s="9"/>
      <c r="C982" s="11"/>
      <c r="D982" s="1"/>
      <c r="E982" s="1"/>
      <c r="F982" s="1"/>
      <c r="G982" s="7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25">
      <c r="A983" s="1"/>
      <c r="B983" s="9"/>
      <c r="C983" s="11"/>
      <c r="D983" s="1"/>
      <c r="E983" s="1"/>
      <c r="F983" s="1"/>
      <c r="G983" s="7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25">
      <c r="A984" s="1"/>
      <c r="B984" s="9"/>
      <c r="C984" s="11"/>
      <c r="D984" s="1"/>
      <c r="E984" s="1"/>
      <c r="F984" s="1"/>
      <c r="G984" s="7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25">
      <c r="A985" s="1"/>
      <c r="B985" s="9"/>
      <c r="C985" s="11"/>
      <c r="D985" s="1"/>
      <c r="E985" s="1"/>
      <c r="F985" s="1"/>
      <c r="G985" s="7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25">
      <c r="A986" s="1"/>
      <c r="B986" s="9"/>
      <c r="C986" s="11"/>
      <c r="D986" s="1"/>
      <c r="E986" s="1"/>
      <c r="F986" s="1"/>
      <c r="G986" s="7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25">
      <c r="A987" s="1"/>
      <c r="B987" s="9"/>
      <c r="C987" s="11"/>
      <c r="D987" s="1"/>
      <c r="E987" s="1"/>
      <c r="F987" s="1"/>
      <c r="G987" s="7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25">
      <c r="A988" s="1"/>
      <c r="B988" s="9"/>
      <c r="C988" s="11"/>
      <c r="D988" s="1"/>
      <c r="E988" s="1"/>
      <c r="F988" s="1"/>
      <c r="G988" s="7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25">
      <c r="A989" s="1"/>
      <c r="B989" s="9"/>
      <c r="C989" s="11"/>
      <c r="D989" s="1"/>
      <c r="E989" s="1"/>
      <c r="F989" s="1"/>
      <c r="G989" s="7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25">
      <c r="A990" s="1"/>
      <c r="B990" s="9"/>
      <c r="C990" s="11"/>
      <c r="D990" s="1"/>
      <c r="E990" s="1"/>
      <c r="F990" s="1"/>
      <c r="G990" s="7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25">
      <c r="A991" s="1"/>
      <c r="B991" s="9"/>
      <c r="C991" s="11"/>
      <c r="D991" s="1"/>
      <c r="E991" s="1"/>
      <c r="F991" s="1"/>
      <c r="G991" s="7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25">
      <c r="A992" s="1"/>
      <c r="B992" s="9"/>
      <c r="C992" s="11"/>
      <c r="D992" s="1"/>
      <c r="E992" s="1"/>
      <c r="F992" s="1"/>
      <c r="G992" s="7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25">
      <c r="A993" s="1"/>
      <c r="B993" s="9"/>
      <c r="C993" s="11"/>
      <c r="D993" s="1"/>
      <c r="E993" s="1"/>
      <c r="F993" s="1"/>
      <c r="G993" s="7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25">
      <c r="A994" s="1"/>
      <c r="B994" s="9"/>
      <c r="C994" s="11"/>
      <c r="D994" s="1"/>
      <c r="E994" s="1"/>
      <c r="F994" s="1"/>
      <c r="G994" s="7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25">
      <c r="A995" s="1"/>
      <c r="B995" s="9"/>
      <c r="C995" s="11"/>
      <c r="D995" s="1"/>
      <c r="E995" s="1"/>
      <c r="F995" s="1"/>
      <c r="G995" s="7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25">
      <c r="A996" s="1"/>
      <c r="B996" s="9"/>
      <c r="C996" s="11"/>
      <c r="D996" s="1"/>
      <c r="E996" s="1"/>
      <c r="F996" s="1"/>
      <c r="G996" s="7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25">
      <c r="A997" s="1"/>
      <c r="B997" s="9"/>
      <c r="C997" s="11"/>
      <c r="D997" s="1"/>
      <c r="E997" s="1"/>
      <c r="F997" s="1"/>
      <c r="G997" s="7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25">
      <c r="A998" s="1"/>
      <c r="B998" s="9"/>
      <c r="C998" s="11"/>
      <c r="D998" s="1"/>
      <c r="E998" s="1"/>
      <c r="F998" s="1"/>
      <c r="G998" s="7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25">
      <c r="A999" s="1"/>
      <c r="B999" s="9"/>
      <c r="C999" s="11"/>
      <c r="D999" s="1"/>
      <c r="E999" s="1"/>
      <c r="F999" s="1"/>
      <c r="G999" s="7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25">
      <c r="A1000" s="1"/>
      <c r="B1000" s="9"/>
      <c r="C1000" s="11"/>
      <c r="D1000" s="1"/>
      <c r="E1000" s="1"/>
      <c r="F1000" s="1"/>
      <c r="G1000" s="7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5">
    <mergeCell ref="A1:H1"/>
    <mergeCell ref="A2:H2"/>
    <mergeCell ref="A3:H3"/>
    <mergeCell ref="A4:H4"/>
    <mergeCell ref="A5:H5"/>
  </mergeCells>
  <pageMargins left="0.75" right="0.75" top="1" bottom="1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88B71-8F3C-47B0-B2C5-26623CF6DAEE}">
  <sheetPr codeName="Sheet2"/>
  <dimension ref="A1:AA245"/>
  <sheetViews>
    <sheetView showGridLines="0" workbookViewId="0">
      <pane ySplit="3" topLeftCell="A213" activePane="bottomLeft" state="frozen"/>
      <selection pane="bottomLeft" activeCell="D216" sqref="D216"/>
    </sheetView>
  </sheetViews>
  <sheetFormatPr defaultRowHeight="13.2" x14ac:dyDescent="0.25"/>
  <cols>
    <col min="2" max="2" width="22.6640625" customWidth="1"/>
    <col min="4" max="4" width="23.77734375" customWidth="1"/>
    <col min="11" max="11" width="7.77734375" customWidth="1"/>
    <col min="12" max="12" width="18.109375" customWidth="1"/>
  </cols>
  <sheetData>
    <row r="1" spans="1:27" x14ac:dyDescent="0.25">
      <c r="B1" s="23" t="s">
        <v>20</v>
      </c>
      <c r="C1" s="25">
        <f>AVERAGE(C4:C243)</f>
        <v>0.75454281278094171</v>
      </c>
      <c r="D1" s="25">
        <f>AVERAGE(D4:D243)</f>
        <v>0.82898973611111115</v>
      </c>
      <c r="E1" s="25">
        <f>AVERAGE(E4:E243)</f>
        <v>0.58285283333333349</v>
      </c>
      <c r="F1" s="25">
        <f>AVERAGE(F4:F243)</f>
        <v>0.82533933333333287</v>
      </c>
      <c r="G1" s="25">
        <f>AVERAGE(G4:G243)</f>
        <v>1.0787770416666664</v>
      </c>
      <c r="I1" s="26" t="s">
        <v>22</v>
      </c>
      <c r="J1" s="14"/>
      <c r="K1" s="14"/>
      <c r="L1" s="14"/>
    </row>
    <row r="2" spans="1:27" x14ac:dyDescent="0.25">
      <c r="B2" s="24" t="s">
        <v>21</v>
      </c>
      <c r="C2" s="20">
        <f>_xlfn.STDEV.P(C4:C243)</f>
        <v>4.3285942538217785</v>
      </c>
      <c r="D2" s="20">
        <f>_xlfn.STDEV.P(D4:D243)</f>
        <v>6.2107303841544699</v>
      </c>
      <c r="E2" s="20">
        <f>_xlfn.STDEV.P(E4:E243)</f>
        <v>5.7863777419146514</v>
      </c>
      <c r="F2" s="20">
        <f>_xlfn.STDEV.P(F4:F243)</f>
        <v>8.22687437851088</v>
      </c>
      <c r="G2" s="20">
        <f>_xlfn.STDEV.P(G4:G243)</f>
        <v>12.57290775973409</v>
      </c>
      <c r="I2" s="21" t="s">
        <v>23</v>
      </c>
      <c r="J2" s="14"/>
      <c r="K2" s="14"/>
      <c r="L2" s="14"/>
    </row>
    <row r="3" spans="1:27" s="30" customFormat="1" ht="12.75" customHeight="1" x14ac:dyDescent="0.25">
      <c r="A3" s="27" t="s">
        <v>17</v>
      </c>
      <c r="B3" s="27" t="s">
        <v>18</v>
      </c>
      <c r="C3" s="27" t="s">
        <v>6</v>
      </c>
      <c r="D3" s="27" t="s">
        <v>19</v>
      </c>
      <c r="E3" s="28" t="s">
        <v>8</v>
      </c>
      <c r="F3" s="28" t="s">
        <v>11</v>
      </c>
      <c r="G3" s="28" t="s">
        <v>14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</row>
    <row r="4" spans="1:27" ht="12.75" customHeight="1" x14ac:dyDescent="0.25">
      <c r="A4" s="1">
        <v>1990</v>
      </c>
      <c r="B4" s="1">
        <v>1</v>
      </c>
      <c r="C4" s="15">
        <v>-6.713599308398055</v>
      </c>
      <c r="D4" s="22">
        <f>AVERAGE(E4:G4)</f>
        <v>-5.5115133333333333</v>
      </c>
      <c r="E4" s="10">
        <v>-6.53939</v>
      </c>
      <c r="F4" s="10">
        <v>-0.31052999999999997</v>
      </c>
      <c r="G4" s="10">
        <v>-9.6846200000000007</v>
      </c>
      <c r="H4" s="16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</row>
    <row r="5" spans="1:27" ht="12.75" customHeight="1" x14ac:dyDescent="0.25">
      <c r="A5" s="1">
        <v>1990</v>
      </c>
      <c r="B5" s="1">
        <v>2</v>
      </c>
      <c r="C5" s="15">
        <v>1.2880823423377485</v>
      </c>
      <c r="D5" s="22">
        <f t="shared" ref="D5:D68" si="0">AVERAGE(E5:G5)</f>
        <v>-0.38429333333333443</v>
      </c>
      <c r="E5" s="10">
        <v>0.62873999999999997</v>
      </c>
      <c r="F5" s="10">
        <v>8.2123199999999983</v>
      </c>
      <c r="G5" s="10">
        <v>-9.993940000000002</v>
      </c>
      <c r="H5" s="16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</row>
    <row r="6" spans="1:27" ht="12.75" customHeight="1" x14ac:dyDescent="0.25">
      <c r="A6" s="1">
        <v>1990</v>
      </c>
      <c r="B6" s="1">
        <v>3</v>
      </c>
      <c r="C6" s="15">
        <v>2.6496808890475787</v>
      </c>
      <c r="D6" s="22">
        <f t="shared" si="0"/>
        <v>5.2061966666666661</v>
      </c>
      <c r="E6" s="10">
        <v>-0.50983999999999996</v>
      </c>
      <c r="F6" s="10">
        <v>12.229079999999998</v>
      </c>
      <c r="G6" s="10">
        <v>3.8993500000000005</v>
      </c>
      <c r="H6" s="16"/>
      <c r="I6" s="14"/>
      <c r="J6" s="14"/>
      <c r="K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</row>
    <row r="7" spans="1:27" ht="12.75" customHeight="1" x14ac:dyDescent="0.25">
      <c r="A7" s="1">
        <v>1990</v>
      </c>
      <c r="B7" s="1">
        <v>4</v>
      </c>
      <c r="C7" s="15">
        <v>-2.4945991114009747</v>
      </c>
      <c r="D7" s="22">
        <f t="shared" si="0"/>
        <v>-4.2946299999999997</v>
      </c>
      <c r="E7" s="10">
        <v>-4.21523</v>
      </c>
      <c r="F7" s="10">
        <v>-2.8874499999999999</v>
      </c>
      <c r="G7" s="10">
        <v>-5.7812099999999997</v>
      </c>
      <c r="H7" s="16"/>
      <c r="I7" s="14"/>
      <c r="J7" s="14"/>
      <c r="K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</row>
    <row r="8" spans="1:27" ht="12.75" customHeight="1" x14ac:dyDescent="0.25">
      <c r="A8" s="1">
        <v>1990</v>
      </c>
      <c r="B8" s="1">
        <v>5</v>
      </c>
      <c r="C8" s="15">
        <v>9.7504284937920627</v>
      </c>
      <c r="D8" s="22">
        <f t="shared" si="0"/>
        <v>12.814219999999999</v>
      </c>
      <c r="E8" s="10">
        <v>1.5308999999999999</v>
      </c>
      <c r="F8" s="10">
        <v>18.537979999999997</v>
      </c>
      <c r="G8" s="10">
        <v>18.37378</v>
      </c>
      <c r="H8" s="16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</row>
    <row r="9" spans="1:27" ht="12.75" customHeight="1" x14ac:dyDescent="0.25">
      <c r="A9" s="1">
        <v>1990</v>
      </c>
      <c r="B9" s="1">
        <v>6</v>
      </c>
      <c r="C9" s="15">
        <v>-0.67470626026850944</v>
      </c>
      <c r="D9" s="22">
        <f t="shared" si="0"/>
        <v>1.8129500000000005</v>
      </c>
      <c r="E9" s="10">
        <v>2.4862100000000003</v>
      </c>
      <c r="F9" s="10">
        <v>6.3752000000000004</v>
      </c>
      <c r="G9" s="10">
        <v>-3.4225599999999998</v>
      </c>
      <c r="H9" s="16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</row>
    <row r="10" spans="1:27" ht="12.75" customHeight="1" x14ac:dyDescent="0.25">
      <c r="A10" s="1">
        <v>1990</v>
      </c>
      <c r="B10" s="1">
        <v>7</v>
      </c>
      <c r="C10" s="15">
        <v>-0.32059804061931318</v>
      </c>
      <c r="D10" s="22">
        <f t="shared" si="0"/>
        <v>0.78641666666666676</v>
      </c>
      <c r="E10" s="10">
        <v>0.32017000000000001</v>
      </c>
      <c r="F10" s="10">
        <v>-1.38205</v>
      </c>
      <c r="G10" s="10">
        <v>3.4211300000000002</v>
      </c>
      <c r="H10" s="16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</row>
    <row r="11" spans="1:27" ht="12.75" customHeight="1" x14ac:dyDescent="0.25">
      <c r="A11" s="1">
        <v>1990</v>
      </c>
      <c r="B11" s="1">
        <v>8</v>
      </c>
      <c r="C11" s="15">
        <v>-9.0389597065838938</v>
      </c>
      <c r="D11" s="22">
        <f t="shared" si="0"/>
        <v>-17.37887666666667</v>
      </c>
      <c r="E11" s="10">
        <v>-9.3887000000000018</v>
      </c>
      <c r="F11" s="10">
        <v>-16.117320000000003</v>
      </c>
      <c r="G11" s="10">
        <v>-26.630610000000001</v>
      </c>
      <c r="H11" s="16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</row>
    <row r="12" spans="1:27" ht="12.75" customHeight="1" x14ac:dyDescent="0.25">
      <c r="A12" s="1">
        <v>1990</v>
      </c>
      <c r="B12" s="1">
        <v>9</v>
      </c>
      <c r="C12" s="15">
        <v>-4.8667975006203452</v>
      </c>
      <c r="D12" s="22">
        <f t="shared" si="0"/>
        <v>-8.6580900000000014</v>
      </c>
      <c r="E12" s="10">
        <v>-0.1</v>
      </c>
      <c r="F12" s="10">
        <v>-13.830570000000002</v>
      </c>
      <c r="G12" s="10">
        <v>-12.043700000000001</v>
      </c>
      <c r="H12" s="16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</row>
    <row r="13" spans="1:27" ht="12.75" customHeight="1" x14ac:dyDescent="0.25">
      <c r="A13" s="1">
        <v>1990</v>
      </c>
      <c r="B13" s="1">
        <v>10</v>
      </c>
      <c r="C13" s="15">
        <v>-0.4256227251710154</v>
      </c>
      <c r="D13" s="22">
        <f t="shared" si="0"/>
        <v>4.6420266666666672</v>
      </c>
      <c r="E13" s="10">
        <v>5.5603800000000003</v>
      </c>
      <c r="F13" s="10">
        <v>7.4075100000000003</v>
      </c>
      <c r="G13" s="10">
        <v>0.95818999999999988</v>
      </c>
      <c r="H13" s="16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</row>
    <row r="14" spans="1:27" ht="12.75" customHeight="1" x14ac:dyDescent="0.25">
      <c r="A14" s="1">
        <v>1990</v>
      </c>
      <c r="B14" s="1">
        <v>11</v>
      </c>
      <c r="C14" s="15">
        <v>6.4640186693337265</v>
      </c>
      <c r="D14" s="22">
        <f t="shared" si="0"/>
        <v>7.0083533333333321</v>
      </c>
      <c r="E14" s="10">
        <v>2.9357100000000003</v>
      </c>
      <c r="F14" s="10">
        <v>-0.65866000000000013</v>
      </c>
      <c r="G14" s="10">
        <v>18.748009999999997</v>
      </c>
      <c r="H14" s="16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</row>
    <row r="15" spans="1:27" ht="12.75" customHeight="1" x14ac:dyDescent="0.25">
      <c r="A15" s="1">
        <v>1990</v>
      </c>
      <c r="B15" s="1">
        <v>12</v>
      </c>
      <c r="C15" s="15">
        <v>2.7855441359025512</v>
      </c>
      <c r="D15" s="22">
        <f t="shared" si="0"/>
        <v>1.656336666666667</v>
      </c>
      <c r="E15" s="10">
        <v>-0.98496000000000006</v>
      </c>
      <c r="F15" s="10">
        <v>2.4423700000000004</v>
      </c>
      <c r="G15" s="10">
        <v>3.5116000000000005</v>
      </c>
      <c r="H15" s="16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</row>
    <row r="16" spans="1:27" ht="12.75" customHeight="1" x14ac:dyDescent="0.25">
      <c r="A16" s="1">
        <v>1991</v>
      </c>
      <c r="B16" s="1">
        <v>1</v>
      </c>
      <c r="C16" s="15">
        <v>4.35518223436</v>
      </c>
      <c r="D16" s="22">
        <f t="shared" si="0"/>
        <v>3.9526433333333331</v>
      </c>
      <c r="E16" s="10">
        <v>-1.88571</v>
      </c>
      <c r="F16" s="10">
        <v>8.7154299999999978</v>
      </c>
      <c r="G16" s="10">
        <v>5.0282100000000005</v>
      </c>
      <c r="H16" s="16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</row>
    <row r="17" spans="1:27" ht="12.75" customHeight="1" x14ac:dyDescent="0.25">
      <c r="A17" s="1">
        <v>1991</v>
      </c>
      <c r="B17" s="1">
        <v>2</v>
      </c>
      <c r="C17" s="15">
        <v>7.1514589122150252</v>
      </c>
      <c r="D17" s="22">
        <f t="shared" si="0"/>
        <v>1.3843933333333336</v>
      </c>
      <c r="E17" s="10">
        <v>5.7181800000000003</v>
      </c>
      <c r="F17" s="10">
        <v>-1.87215</v>
      </c>
      <c r="G17" s="10">
        <v>0.30715000000000003</v>
      </c>
      <c r="H17" s="16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</row>
    <row r="18" spans="1:27" ht="12.75" customHeight="1" x14ac:dyDescent="0.25">
      <c r="A18" s="1">
        <v>1991</v>
      </c>
      <c r="B18" s="1">
        <v>3</v>
      </c>
      <c r="C18" s="15">
        <v>2.421438267190168</v>
      </c>
      <c r="D18" s="22">
        <f t="shared" si="0"/>
        <v>1.5488033333333338</v>
      </c>
      <c r="E18" s="10">
        <v>2.0929800000000003</v>
      </c>
      <c r="F18" s="10">
        <v>-2.6906699999999995</v>
      </c>
      <c r="G18" s="10">
        <v>5.2441000000000004</v>
      </c>
      <c r="H18" s="16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</row>
    <row r="19" spans="1:27" ht="12.75" customHeight="1" x14ac:dyDescent="0.25">
      <c r="A19" s="1">
        <v>1991</v>
      </c>
      <c r="B19" s="1">
        <v>4</v>
      </c>
      <c r="C19" s="15">
        <v>0.23679910315606012</v>
      </c>
      <c r="D19" s="22">
        <f t="shared" si="0"/>
        <v>1.0012066666666668</v>
      </c>
      <c r="E19" s="10">
        <v>1.6167399999999998</v>
      </c>
      <c r="F19" s="10">
        <v>-2.7595799999999997</v>
      </c>
      <c r="G19" s="10">
        <v>4.1464600000000003</v>
      </c>
      <c r="H19" s="16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</row>
    <row r="20" spans="1:27" ht="12.75" customHeight="1" x14ac:dyDescent="0.25">
      <c r="A20" s="1">
        <v>1991</v>
      </c>
      <c r="B20" s="1">
        <v>5</v>
      </c>
      <c r="C20" s="15">
        <v>4.313921555153799</v>
      </c>
      <c r="D20" s="22">
        <f t="shared" si="0"/>
        <v>1.9263333333333332</v>
      </c>
      <c r="E20" s="10">
        <v>-1.02827</v>
      </c>
      <c r="F20" s="10">
        <v>7.27705</v>
      </c>
      <c r="G20" s="10">
        <v>-0.46977999999999998</v>
      </c>
      <c r="H20" s="16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</row>
    <row r="21" spans="1:27" ht="12.75" customHeight="1" x14ac:dyDescent="0.25">
      <c r="A21" s="1">
        <v>1991</v>
      </c>
      <c r="B21" s="1">
        <v>6</v>
      </c>
      <c r="C21" s="15">
        <v>-4.581189591922497</v>
      </c>
      <c r="D21" s="22">
        <f t="shared" si="0"/>
        <v>-9.3328933333333328</v>
      </c>
      <c r="E21" s="10">
        <v>-1.40435</v>
      </c>
      <c r="F21" s="10">
        <v>-6.4938599999999997</v>
      </c>
      <c r="G21" s="10">
        <v>-20.100470000000001</v>
      </c>
      <c r="H21" s="16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</row>
    <row r="22" spans="1:27" ht="12.75" customHeight="1" x14ac:dyDescent="0.25">
      <c r="A22" s="1">
        <v>1991</v>
      </c>
      <c r="B22" s="1">
        <v>7</v>
      </c>
      <c r="C22" s="15">
        <v>4.6609231384517225</v>
      </c>
      <c r="D22" s="22">
        <f t="shared" si="0"/>
        <v>1.9798166666666666</v>
      </c>
      <c r="E22" s="10">
        <v>4.3052900000000003</v>
      </c>
      <c r="F22" s="10">
        <v>1.2661199999999999</v>
      </c>
      <c r="G22" s="10">
        <v>0.36804000000000003</v>
      </c>
      <c r="H22" s="16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</row>
    <row r="23" spans="1:27" ht="12.75" customHeight="1" x14ac:dyDescent="0.25">
      <c r="A23" s="1">
        <v>1991</v>
      </c>
      <c r="B23" s="1">
        <v>8</v>
      </c>
      <c r="C23" s="15">
        <v>2.3691788393389146</v>
      </c>
      <c r="D23" s="22">
        <f t="shared" si="0"/>
        <v>6.0685800000000008</v>
      </c>
      <c r="E23" s="10">
        <v>3.6130800000000005</v>
      </c>
      <c r="F23" s="10">
        <v>7.71671</v>
      </c>
      <c r="G23" s="10">
        <v>6.8759500000000005</v>
      </c>
      <c r="H23" s="16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</row>
    <row r="24" spans="1:27" ht="12.75" customHeight="1" x14ac:dyDescent="0.25">
      <c r="A24" s="1">
        <v>1991</v>
      </c>
      <c r="B24" s="1">
        <v>9</v>
      </c>
      <c r="C24" s="15">
        <v>-1.6735472001635388</v>
      </c>
      <c r="D24" s="22">
        <f t="shared" si="0"/>
        <v>0.86263000000000012</v>
      </c>
      <c r="E24" s="10">
        <v>1.55975</v>
      </c>
      <c r="F24" s="10">
        <v>1.91005</v>
      </c>
      <c r="G24" s="10">
        <v>-0.88191000000000008</v>
      </c>
      <c r="H24" s="16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</row>
    <row r="25" spans="1:27" ht="12.75" customHeight="1" x14ac:dyDescent="0.25">
      <c r="A25" s="1">
        <v>1991</v>
      </c>
      <c r="B25" s="1">
        <v>10</v>
      </c>
      <c r="C25" s="15">
        <v>1.3445416129979959</v>
      </c>
      <c r="D25" s="22">
        <f t="shared" si="0"/>
        <v>-0.27991999999999984</v>
      </c>
      <c r="E25" s="10">
        <v>2.7571400000000001</v>
      </c>
      <c r="F25" s="10">
        <v>-3.0556699999999997</v>
      </c>
      <c r="G25" s="10">
        <v>-0.54122999999999999</v>
      </c>
      <c r="H25" s="16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</row>
    <row r="26" spans="1:27" ht="12.75" customHeight="1" x14ac:dyDescent="0.25">
      <c r="A26" s="1">
        <v>1991</v>
      </c>
      <c r="B26" s="1">
        <v>11</v>
      </c>
      <c r="C26" s="15">
        <v>-4.0293881555476307</v>
      </c>
      <c r="D26" s="22">
        <f t="shared" si="0"/>
        <v>-4.9075766666666665</v>
      </c>
      <c r="E26" s="10">
        <v>2.2015900000000004</v>
      </c>
      <c r="F26" s="10">
        <v>-9.7446700000000011</v>
      </c>
      <c r="G26" s="10">
        <v>-7.1796499999999996</v>
      </c>
      <c r="H26" s="16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</row>
    <row r="27" spans="1:27" ht="12.75" customHeight="1" x14ac:dyDescent="0.25">
      <c r="A27" s="1">
        <v>1991</v>
      </c>
      <c r="B27" s="1">
        <v>12</v>
      </c>
      <c r="C27" s="15">
        <v>11.436563826499913</v>
      </c>
      <c r="D27" s="22">
        <f t="shared" si="0"/>
        <v>8.827399999999999</v>
      </c>
      <c r="E27" s="10">
        <v>8.2003999999999984</v>
      </c>
      <c r="F27" s="10">
        <v>7.8096100000000002</v>
      </c>
      <c r="G27" s="10">
        <v>10.472189999999999</v>
      </c>
      <c r="H27" s="16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</row>
    <row r="28" spans="1:27" ht="12.75" customHeight="1" x14ac:dyDescent="0.25">
      <c r="A28" s="1">
        <v>1992</v>
      </c>
      <c r="B28" s="1">
        <v>1</v>
      </c>
      <c r="C28" s="15">
        <v>-1.8635081405991683</v>
      </c>
      <c r="D28" s="22">
        <f t="shared" si="0"/>
        <v>-4.938086666666667</v>
      </c>
      <c r="E28" s="10">
        <v>-5.5744499999999997</v>
      </c>
      <c r="F28" s="10">
        <v>6.4445000000000006</v>
      </c>
      <c r="G28" s="10">
        <v>-15.684310000000002</v>
      </c>
      <c r="H28" s="16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</row>
    <row r="29" spans="1:27" ht="12.75" customHeight="1" x14ac:dyDescent="0.25">
      <c r="A29" s="1">
        <v>1992</v>
      </c>
      <c r="B29" s="1">
        <v>2</v>
      </c>
      <c r="C29" s="15">
        <v>1.2951061727870528</v>
      </c>
      <c r="D29" s="22">
        <f t="shared" si="0"/>
        <v>4.4899966666666664</v>
      </c>
      <c r="E29" s="10">
        <v>-2.8799199999999998</v>
      </c>
      <c r="F29" s="10">
        <v>-9.1909100000000006</v>
      </c>
      <c r="G29" s="10">
        <v>25.54082</v>
      </c>
      <c r="H29" s="16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</row>
    <row r="30" spans="1:27" ht="12.75" customHeight="1" x14ac:dyDescent="0.25">
      <c r="A30" s="1">
        <v>1992</v>
      </c>
      <c r="B30" s="1">
        <v>3</v>
      </c>
      <c r="C30" s="15">
        <v>-1.9448773152177856</v>
      </c>
      <c r="D30" s="22">
        <f t="shared" si="0"/>
        <v>-2.5641399999999996</v>
      </c>
      <c r="E30" s="10">
        <v>-0.50485999999999998</v>
      </c>
      <c r="F30" s="10">
        <v>-4.71957</v>
      </c>
      <c r="G30" s="10">
        <v>-2.4679899999999995</v>
      </c>
      <c r="H30" s="16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</row>
    <row r="31" spans="1:27" ht="12.75" customHeight="1" x14ac:dyDescent="0.25">
      <c r="A31" s="1">
        <v>1992</v>
      </c>
      <c r="B31" s="1">
        <v>4</v>
      </c>
      <c r="C31" s="15">
        <v>2.9352880530803205</v>
      </c>
      <c r="D31" s="22">
        <f t="shared" si="0"/>
        <v>-0.61080333333333314</v>
      </c>
      <c r="E31" s="10">
        <v>3.9650400000000001</v>
      </c>
      <c r="F31" s="10">
        <v>0.18490000000000001</v>
      </c>
      <c r="G31" s="10">
        <v>-5.9823499999999994</v>
      </c>
      <c r="H31" s="16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</row>
    <row r="32" spans="1:27" ht="12.75" customHeight="1" x14ac:dyDescent="0.25">
      <c r="A32" s="1">
        <v>1992</v>
      </c>
      <c r="B32" s="1">
        <v>5</v>
      </c>
      <c r="C32" s="15">
        <v>0.49019098538987116</v>
      </c>
      <c r="D32" s="22">
        <f t="shared" si="0"/>
        <v>-0.36616333333333334</v>
      </c>
      <c r="E32" s="10">
        <v>0.60312999999999994</v>
      </c>
      <c r="F32" s="10">
        <v>0.18409000000000003</v>
      </c>
      <c r="G32" s="10">
        <v>-1.88571</v>
      </c>
      <c r="H32" s="16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</row>
    <row r="33" spans="1:27" ht="12.75" customHeight="1" x14ac:dyDescent="0.25">
      <c r="A33" s="1">
        <v>1992</v>
      </c>
      <c r="B33" s="1">
        <v>6</v>
      </c>
      <c r="C33" s="15">
        <v>-1.4869727047146508</v>
      </c>
      <c r="D33" s="22">
        <f t="shared" si="0"/>
        <v>-6.3299800000000017</v>
      </c>
      <c r="E33" s="10">
        <v>0.69050999999999996</v>
      </c>
      <c r="F33" s="10">
        <v>-9.2168100000000006</v>
      </c>
      <c r="G33" s="10">
        <v>-10.463640000000002</v>
      </c>
      <c r="H33" s="16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</row>
    <row r="34" spans="1:27" ht="12.75" customHeight="1" x14ac:dyDescent="0.25">
      <c r="A34" s="1">
        <v>1992</v>
      </c>
      <c r="B34" s="1">
        <v>7</v>
      </c>
      <c r="C34" s="15">
        <v>4.085355230484744</v>
      </c>
      <c r="D34" s="22">
        <f t="shared" si="0"/>
        <v>3.3511666666666664</v>
      </c>
      <c r="E34" s="10">
        <v>8.9196099999999987</v>
      </c>
      <c r="F34" s="10">
        <v>0.21348</v>
      </c>
      <c r="G34" s="10">
        <v>0.92040999999999995</v>
      </c>
      <c r="H34" s="16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</row>
    <row r="35" spans="1:27" ht="12.75" customHeight="1" x14ac:dyDescent="0.25">
      <c r="A35" s="1">
        <v>1992</v>
      </c>
      <c r="B35" s="1">
        <v>8</v>
      </c>
      <c r="C35" s="15">
        <v>-2.0466975348477079</v>
      </c>
      <c r="D35" s="22">
        <f t="shared" si="0"/>
        <v>-5.4495700000000005</v>
      </c>
      <c r="E35" s="10">
        <v>-4.8481999999999994</v>
      </c>
      <c r="F35" s="10">
        <v>-6.35</v>
      </c>
      <c r="G35" s="10">
        <v>-5.1505099999999997</v>
      </c>
      <c r="H35" s="16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</row>
    <row r="36" spans="1:27" ht="12.75" customHeight="1" x14ac:dyDescent="0.25">
      <c r="A36" s="1">
        <v>1992</v>
      </c>
      <c r="B36" s="1">
        <v>9</v>
      </c>
      <c r="C36" s="15">
        <v>1.1751553869180587</v>
      </c>
      <c r="D36" s="22">
        <f t="shared" si="0"/>
        <v>5.3202866666666653</v>
      </c>
      <c r="E36" s="10">
        <v>1.4384599999999998</v>
      </c>
      <c r="F36" s="10">
        <v>-1.44228</v>
      </c>
      <c r="G36" s="10">
        <v>15.964679999999998</v>
      </c>
      <c r="H36" s="16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</row>
    <row r="37" spans="1:27" ht="12.75" customHeight="1" x14ac:dyDescent="0.25">
      <c r="A37" s="1">
        <v>1992</v>
      </c>
      <c r="B37" s="1">
        <v>10</v>
      </c>
      <c r="C37" s="15">
        <v>0.34552154829468051</v>
      </c>
      <c r="D37" s="22">
        <f t="shared" si="0"/>
        <v>-2.0536133333333333</v>
      </c>
      <c r="E37" s="10">
        <v>-1.6151500000000001</v>
      </c>
      <c r="F37" s="10">
        <v>-2.1408199999999997</v>
      </c>
      <c r="G37" s="10">
        <v>-2.4048699999999998</v>
      </c>
      <c r="H37" s="16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</row>
    <row r="38" spans="1:27" ht="12.75" customHeight="1" x14ac:dyDescent="0.25">
      <c r="A38" s="1">
        <v>1992</v>
      </c>
      <c r="B38" s="1">
        <v>11</v>
      </c>
      <c r="C38" s="15">
        <v>3.4049913917048036</v>
      </c>
      <c r="D38" s="22">
        <f t="shared" si="0"/>
        <v>2.9289399999999994</v>
      </c>
      <c r="E38" s="10">
        <v>-2.4846199999999996</v>
      </c>
      <c r="F38" s="10">
        <v>-1.8361100000000001</v>
      </c>
      <c r="G38" s="10">
        <v>13.107549999999998</v>
      </c>
      <c r="H38" s="16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</row>
    <row r="39" spans="1:27" ht="12.75" customHeight="1" x14ac:dyDescent="0.25">
      <c r="A39" s="1">
        <v>1992</v>
      </c>
      <c r="B39" s="1">
        <v>12</v>
      </c>
      <c r="C39" s="15">
        <v>1.2272513335425117</v>
      </c>
      <c r="D39" s="22">
        <f t="shared" si="0"/>
        <v>6.6757499999999999</v>
      </c>
      <c r="E39" s="10">
        <v>6.3257000000000003</v>
      </c>
      <c r="F39" s="10">
        <v>14.134879999999999</v>
      </c>
      <c r="G39" s="10">
        <v>-0.43332999999999999</v>
      </c>
      <c r="H39" s="16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</row>
    <row r="40" spans="1:27" ht="12.75" customHeight="1" x14ac:dyDescent="0.25">
      <c r="A40" s="1">
        <v>1993</v>
      </c>
      <c r="B40" s="1">
        <v>1</v>
      </c>
      <c r="C40" s="15">
        <v>0.83614567067951118</v>
      </c>
      <c r="D40" s="22">
        <f t="shared" si="0"/>
        <v>-7.1764166666666682</v>
      </c>
      <c r="E40" s="10">
        <v>2.1641500000000002</v>
      </c>
      <c r="F40" s="10">
        <v>-12.249530000000002</v>
      </c>
      <c r="G40" s="10">
        <v>-11.443870000000002</v>
      </c>
      <c r="H40" s="16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</row>
    <row r="41" spans="1:27" ht="12.75" customHeight="1" x14ac:dyDescent="0.25">
      <c r="A41" s="1">
        <v>1993</v>
      </c>
      <c r="B41" s="1">
        <v>2</v>
      </c>
      <c r="C41" s="15">
        <v>1.3627438548763138</v>
      </c>
      <c r="D41" s="22">
        <f t="shared" si="0"/>
        <v>4.1640000000000121E-2</v>
      </c>
      <c r="E41" s="10">
        <v>6.8372700000000002</v>
      </c>
      <c r="F41" s="10">
        <v>-1.8730500000000001</v>
      </c>
      <c r="G41" s="10">
        <v>-4.8392999999999997</v>
      </c>
      <c r="H41" s="16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</row>
    <row r="42" spans="1:27" ht="12.75" customHeight="1" x14ac:dyDescent="0.25">
      <c r="A42" s="1">
        <v>1993</v>
      </c>
      <c r="B42" s="1">
        <v>3</v>
      </c>
      <c r="C42" s="15">
        <v>2.109983756233591</v>
      </c>
      <c r="D42" s="22">
        <f t="shared" si="0"/>
        <v>7.8447533333333332</v>
      </c>
      <c r="E42" s="10">
        <v>3.4087700000000005</v>
      </c>
      <c r="F42" s="10">
        <v>1.7181799999999998</v>
      </c>
      <c r="G42" s="10">
        <v>18.407309999999999</v>
      </c>
      <c r="H42" s="16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</row>
    <row r="43" spans="1:27" ht="12.75" customHeight="1" x14ac:dyDescent="0.25">
      <c r="A43" s="1">
        <v>1993</v>
      </c>
      <c r="B43" s="1">
        <v>4</v>
      </c>
      <c r="C43" s="15">
        <v>-2.417030028642031</v>
      </c>
      <c r="D43" s="22">
        <f t="shared" si="0"/>
        <v>2.983133333333333</v>
      </c>
      <c r="E43" s="10">
        <v>0.57796999999999987</v>
      </c>
      <c r="F43" s="10">
        <v>8.471429999999998</v>
      </c>
      <c r="G43" s="10">
        <v>-0.1</v>
      </c>
      <c r="H43" s="16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</row>
    <row r="44" spans="1:27" ht="12.75" customHeight="1" x14ac:dyDescent="0.25">
      <c r="A44" s="1">
        <v>1993</v>
      </c>
      <c r="B44" s="1">
        <v>5</v>
      </c>
      <c r="C44" s="15">
        <v>2.6751100441698483</v>
      </c>
      <c r="D44" s="22">
        <f t="shared" si="0"/>
        <v>1.1330133333333336</v>
      </c>
      <c r="E44" s="10">
        <v>-5.5545499999999999</v>
      </c>
      <c r="F44" s="10">
        <v>4.8342100000000006</v>
      </c>
      <c r="G44" s="10">
        <v>4.1193800000000005</v>
      </c>
      <c r="H44" s="16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</row>
    <row r="45" spans="1:27" ht="12.75" customHeight="1" x14ac:dyDescent="0.25">
      <c r="A45" s="1">
        <v>1993</v>
      </c>
      <c r="B45" s="1">
        <v>6</v>
      </c>
      <c r="C45" s="15">
        <v>0.29272214924753737</v>
      </c>
      <c r="D45" s="22">
        <f t="shared" si="0"/>
        <v>4.8956666666666461E-2</v>
      </c>
      <c r="E45" s="10">
        <v>9.3202899999999982</v>
      </c>
      <c r="F45" s="10">
        <v>-6.7246099999999993</v>
      </c>
      <c r="G45" s="10">
        <v>-2.4488099999999995</v>
      </c>
      <c r="H45" s="16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</row>
    <row r="46" spans="1:27" ht="12.75" customHeight="1" x14ac:dyDescent="0.25">
      <c r="A46" s="1">
        <v>1993</v>
      </c>
      <c r="B46" s="1">
        <v>7</v>
      </c>
      <c r="C46" s="15">
        <v>-0.40214947694706682</v>
      </c>
      <c r="D46" s="22">
        <f t="shared" si="0"/>
        <v>1.06396</v>
      </c>
      <c r="E46" s="10">
        <v>1.5556299999999998</v>
      </c>
      <c r="F46" s="10">
        <v>6.3189200000000003</v>
      </c>
      <c r="G46" s="10">
        <v>-4.6826699999999999</v>
      </c>
      <c r="H46" s="16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</row>
    <row r="47" spans="1:27" ht="12.75" customHeight="1" x14ac:dyDescent="0.25">
      <c r="A47" s="1">
        <v>1993</v>
      </c>
      <c r="B47" s="1">
        <v>8</v>
      </c>
      <c r="C47" s="15">
        <v>3.7942073283824485</v>
      </c>
      <c r="D47" s="22">
        <f t="shared" si="0"/>
        <v>3.0622266666666671</v>
      </c>
      <c r="E47" s="10">
        <v>2.4407200000000002</v>
      </c>
      <c r="F47" s="10">
        <v>1.16984</v>
      </c>
      <c r="G47" s="10">
        <v>5.5761200000000004</v>
      </c>
      <c r="H47" s="16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</row>
    <row r="48" spans="1:27" ht="12.75" customHeight="1" x14ac:dyDescent="0.25">
      <c r="A48" s="1">
        <v>1993</v>
      </c>
      <c r="B48" s="1">
        <v>9</v>
      </c>
      <c r="C48" s="15">
        <v>-0.76676893826356229</v>
      </c>
      <c r="D48" s="22">
        <f t="shared" si="0"/>
        <v>6.2367300000000006</v>
      </c>
      <c r="E48" s="10">
        <v>-0.74516000000000004</v>
      </c>
      <c r="F48" s="10">
        <v>-3.2545699999999997</v>
      </c>
      <c r="G48" s="10">
        <v>22.70992</v>
      </c>
      <c r="H48" s="16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</row>
    <row r="49" spans="1:27" ht="12.75" customHeight="1" x14ac:dyDescent="0.25">
      <c r="A49" s="1">
        <v>1993</v>
      </c>
      <c r="B49" s="1">
        <v>10</v>
      </c>
      <c r="C49" s="15">
        <v>2.06849981092323</v>
      </c>
      <c r="D49" s="22">
        <f t="shared" si="0"/>
        <v>2.6311266666666659</v>
      </c>
      <c r="E49" s="10">
        <v>-0.1</v>
      </c>
      <c r="F49" s="10">
        <v>-2.3801299999999999</v>
      </c>
      <c r="G49" s="10">
        <v>10.373509999999998</v>
      </c>
      <c r="H49" s="16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</row>
    <row r="50" spans="1:27" ht="12.75" customHeight="1" x14ac:dyDescent="0.25">
      <c r="A50" s="1">
        <v>1993</v>
      </c>
      <c r="B50" s="1">
        <v>11</v>
      </c>
      <c r="C50" s="15">
        <v>-0.95321770518527194</v>
      </c>
      <c r="D50" s="22">
        <f t="shared" si="0"/>
        <v>3.4590066666666659</v>
      </c>
      <c r="E50" s="10">
        <v>-4.7103899999999994</v>
      </c>
      <c r="F50" s="10">
        <v>3.5666700000000002</v>
      </c>
      <c r="G50" s="10">
        <v>11.520739999999998</v>
      </c>
      <c r="H50" s="16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</row>
    <row r="51" spans="1:27" ht="12.75" customHeight="1" x14ac:dyDescent="0.25">
      <c r="A51" s="1">
        <v>1993</v>
      </c>
      <c r="B51" s="1">
        <v>12</v>
      </c>
      <c r="C51" s="15">
        <v>1.2090899051323989</v>
      </c>
      <c r="D51" s="22">
        <f t="shared" si="0"/>
        <v>7.7545733333333331</v>
      </c>
      <c r="E51" s="10">
        <v>2.6681700000000004</v>
      </c>
      <c r="F51" s="10">
        <v>11.874109999999998</v>
      </c>
      <c r="G51" s="10">
        <v>8.7214399999999994</v>
      </c>
      <c r="H51" s="16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</row>
    <row r="52" spans="1:27" ht="12.75" customHeight="1" x14ac:dyDescent="0.25">
      <c r="A52" s="1">
        <v>1994</v>
      </c>
      <c r="B52" s="1">
        <v>1</v>
      </c>
      <c r="C52" s="15">
        <v>3.3996712436774157</v>
      </c>
      <c r="D52" s="22">
        <f t="shared" si="0"/>
        <v>-2.1763166666666667</v>
      </c>
      <c r="E52" s="10">
        <v>-2.7935999999999996</v>
      </c>
      <c r="F52" s="10">
        <v>-0.1</v>
      </c>
      <c r="G52" s="10">
        <v>-3.6353499999999999</v>
      </c>
      <c r="H52" s="16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</row>
    <row r="53" spans="1:27" ht="12.75" customHeight="1" x14ac:dyDescent="0.25">
      <c r="A53" s="1">
        <v>1994</v>
      </c>
      <c r="B53" s="1">
        <v>2</v>
      </c>
      <c r="C53" s="15">
        <v>-2.7141249900003328</v>
      </c>
      <c r="D53" s="22">
        <f t="shared" si="0"/>
        <v>-3.7873633333333339</v>
      </c>
      <c r="E53" s="10">
        <v>-6.7435999999999998</v>
      </c>
      <c r="F53" s="10">
        <v>8.5705199999999984</v>
      </c>
      <c r="G53" s="10">
        <v>-13.189010000000001</v>
      </c>
      <c r="H53" s="16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</row>
    <row r="54" spans="1:27" ht="12.75" customHeight="1" x14ac:dyDescent="0.25">
      <c r="A54" s="1">
        <v>1994</v>
      </c>
      <c r="B54" s="1">
        <v>3</v>
      </c>
      <c r="C54" s="15">
        <v>-4.3597230799915287</v>
      </c>
      <c r="D54" s="22">
        <f t="shared" si="0"/>
        <v>-8.1906000000000017</v>
      </c>
      <c r="E54" s="10">
        <v>-7.2698099999999997</v>
      </c>
      <c r="F54" s="10">
        <v>-4.9128299999999996</v>
      </c>
      <c r="G54" s="10">
        <v>-12.389160000000002</v>
      </c>
      <c r="H54" s="16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</row>
    <row r="55" spans="1:27" ht="12.75" customHeight="1" x14ac:dyDescent="0.25">
      <c r="A55" s="1">
        <v>1994</v>
      </c>
      <c r="B55" s="1">
        <v>4</v>
      </c>
      <c r="C55" s="15">
        <v>1.2823467860840765</v>
      </c>
      <c r="D55" s="22">
        <f t="shared" si="0"/>
        <v>-0.70182666666666671</v>
      </c>
      <c r="E55" s="10">
        <v>5.5910600000000006</v>
      </c>
      <c r="F55" s="10">
        <v>1.0235999999999998</v>
      </c>
      <c r="G55" s="10">
        <v>-8.7201400000000007</v>
      </c>
      <c r="H55" s="16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</row>
    <row r="56" spans="1:27" ht="12.75" customHeight="1" x14ac:dyDescent="0.25">
      <c r="A56" s="1">
        <v>1994</v>
      </c>
      <c r="B56" s="1">
        <v>5</v>
      </c>
      <c r="C56" s="15">
        <v>1.6410675066466318</v>
      </c>
      <c r="D56" s="22">
        <f t="shared" si="0"/>
        <v>2.2778433333333328</v>
      </c>
      <c r="E56" s="10">
        <v>-9.4076900000000006</v>
      </c>
      <c r="F56" s="10">
        <v>3.5111100000000004</v>
      </c>
      <c r="G56" s="10">
        <v>12.730109999999998</v>
      </c>
      <c r="H56" s="16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</row>
    <row r="57" spans="1:27" ht="12.75" customHeight="1" x14ac:dyDescent="0.25">
      <c r="A57" s="1">
        <v>1994</v>
      </c>
      <c r="B57" s="1">
        <v>6</v>
      </c>
      <c r="C57" s="15">
        <v>-2.4511772545535271</v>
      </c>
      <c r="D57" s="22">
        <f t="shared" si="0"/>
        <v>-3.341836666666667</v>
      </c>
      <c r="E57" s="10">
        <v>-2.2644999999999995</v>
      </c>
      <c r="F57" s="10">
        <v>-0.36953999999999998</v>
      </c>
      <c r="G57" s="10">
        <v>-7.39147</v>
      </c>
      <c r="H57" s="16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</row>
    <row r="58" spans="1:27" ht="12.75" customHeight="1" x14ac:dyDescent="0.25">
      <c r="A58" s="1">
        <v>1994</v>
      </c>
      <c r="B58" s="1">
        <v>7</v>
      </c>
      <c r="C58" s="15">
        <v>3.2836875815183575</v>
      </c>
      <c r="D58" s="22">
        <f t="shared" si="0"/>
        <v>4.1616666666666662</v>
      </c>
      <c r="E58" s="10">
        <v>7.8646000000000003</v>
      </c>
      <c r="F58" s="10">
        <v>-3.6135099999999998</v>
      </c>
      <c r="G58" s="10">
        <v>8.2339099999999981</v>
      </c>
      <c r="H58" s="16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</row>
    <row r="59" spans="1:27" ht="12.75" customHeight="1" x14ac:dyDescent="0.25">
      <c r="A59" s="1">
        <v>1994</v>
      </c>
      <c r="B59" s="1">
        <v>8</v>
      </c>
      <c r="C59" s="15">
        <v>4.0999537904201411</v>
      </c>
      <c r="D59" s="22">
        <f t="shared" si="0"/>
        <v>5.05288</v>
      </c>
      <c r="E59" s="10">
        <v>5.1459000000000001</v>
      </c>
      <c r="F59" s="10">
        <v>2.4210100000000003</v>
      </c>
      <c r="G59" s="10">
        <v>7.5917300000000001</v>
      </c>
      <c r="H59" s="16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</row>
    <row r="60" spans="1:27" ht="12.75" customHeight="1" x14ac:dyDescent="0.25">
      <c r="A60" s="1">
        <v>1994</v>
      </c>
      <c r="B60" s="1">
        <v>9</v>
      </c>
      <c r="C60" s="15">
        <v>-2.4453262129211062</v>
      </c>
      <c r="D60" s="22">
        <f t="shared" si="0"/>
        <v>0.52102666666666708</v>
      </c>
      <c r="E60" s="10">
        <v>-0.49682999999999999</v>
      </c>
      <c r="F60" s="10">
        <v>-5.0450599999999994</v>
      </c>
      <c r="G60" s="10">
        <v>7.1049700000000007</v>
      </c>
      <c r="H60" s="16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</row>
    <row r="61" spans="1:27" ht="12.75" customHeight="1" x14ac:dyDescent="0.25">
      <c r="A61" s="1">
        <v>1994</v>
      </c>
      <c r="B61" s="1">
        <v>10</v>
      </c>
      <c r="C61" s="15">
        <v>2.2466329162288634</v>
      </c>
      <c r="D61" s="22">
        <f t="shared" si="0"/>
        <v>2.01702</v>
      </c>
      <c r="E61" s="10">
        <v>1.8920299999999999</v>
      </c>
      <c r="F61" s="10">
        <v>1.3473999999999999</v>
      </c>
      <c r="G61" s="10">
        <v>2.8116300000000005</v>
      </c>
      <c r="H61" s="16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</row>
    <row r="62" spans="1:27" ht="12.75" customHeight="1" x14ac:dyDescent="0.25">
      <c r="A62" s="1">
        <v>1994</v>
      </c>
      <c r="B62" s="1">
        <v>11</v>
      </c>
      <c r="C62" s="15">
        <v>-3.6419009700525473</v>
      </c>
      <c r="D62" s="22">
        <f t="shared" si="0"/>
        <v>3.7396100000000003</v>
      </c>
      <c r="E62" s="10">
        <v>4.9000000000000004</v>
      </c>
      <c r="F62" s="10">
        <v>2.7489400000000002</v>
      </c>
      <c r="G62" s="10">
        <v>3.5698900000000005</v>
      </c>
      <c r="H62" s="16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</row>
    <row r="63" spans="1:27" ht="12.75" customHeight="1" x14ac:dyDescent="0.25">
      <c r="A63" s="1">
        <v>1994</v>
      </c>
      <c r="B63" s="1">
        <v>12</v>
      </c>
      <c r="C63" s="15">
        <v>1.4833682948756532</v>
      </c>
      <c r="D63" s="22">
        <f t="shared" si="0"/>
        <v>4.4786866666666656</v>
      </c>
      <c r="E63" s="10">
        <v>-0.47878999999999999</v>
      </c>
      <c r="F63" s="10">
        <v>4.6330400000000003</v>
      </c>
      <c r="G63" s="10">
        <v>9.2818099999999983</v>
      </c>
      <c r="H63" s="16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</row>
    <row r="64" spans="1:27" ht="12.75" customHeight="1" x14ac:dyDescent="0.25">
      <c r="A64" s="1">
        <v>1995</v>
      </c>
      <c r="B64" s="1">
        <v>1</v>
      </c>
      <c r="C64" s="15">
        <v>2.5933420762369597</v>
      </c>
      <c r="D64" s="22">
        <f t="shared" si="0"/>
        <v>-3.5504233333333333</v>
      </c>
      <c r="E64" s="10">
        <v>6.36388</v>
      </c>
      <c r="F64" s="10">
        <v>-5.4191499999999992</v>
      </c>
      <c r="G64" s="10">
        <v>-11.596000000000002</v>
      </c>
      <c r="H64" s="16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</row>
    <row r="65" spans="1:27" ht="12.75" customHeight="1" x14ac:dyDescent="0.25">
      <c r="A65" s="1">
        <v>1995</v>
      </c>
      <c r="B65" s="1">
        <v>2</v>
      </c>
      <c r="C65" s="15">
        <v>3.8971615295402495</v>
      </c>
      <c r="D65" s="22">
        <f t="shared" si="0"/>
        <v>1.1818733333333333</v>
      </c>
      <c r="E65" s="10">
        <v>-1.6</v>
      </c>
      <c r="F65" s="10">
        <v>4.1157300000000001</v>
      </c>
      <c r="G65" s="10">
        <v>1.02989</v>
      </c>
      <c r="H65" s="16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</row>
    <row r="66" spans="1:27" ht="12.75" customHeight="1" x14ac:dyDescent="0.25">
      <c r="A66" s="1">
        <v>1995</v>
      </c>
      <c r="B66" s="1">
        <v>3</v>
      </c>
      <c r="C66" s="15">
        <v>2.9506903738757861</v>
      </c>
      <c r="D66" s="22">
        <f t="shared" si="0"/>
        <v>5.6871366666666665</v>
      </c>
      <c r="E66" s="10">
        <v>-6.3730599999999997</v>
      </c>
      <c r="F66" s="10">
        <v>16.428639999999998</v>
      </c>
      <c r="G66" s="10">
        <v>7.0058300000000004</v>
      </c>
      <c r="H66" s="16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</row>
    <row r="67" spans="1:27" ht="12.75" customHeight="1" x14ac:dyDescent="0.25">
      <c r="A67" s="1">
        <v>1995</v>
      </c>
      <c r="B67" s="1">
        <v>4</v>
      </c>
      <c r="C67" s="15">
        <v>2.9446308724832226</v>
      </c>
      <c r="D67" s="22">
        <f t="shared" si="0"/>
        <v>2.9452566666666669</v>
      </c>
      <c r="E67" s="10">
        <v>3.0496100000000004</v>
      </c>
      <c r="F67" s="10">
        <v>2.2255800000000003</v>
      </c>
      <c r="G67" s="10">
        <v>3.5605800000000003</v>
      </c>
      <c r="H67" s="16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</row>
    <row r="68" spans="1:27" ht="12.75" customHeight="1" x14ac:dyDescent="0.25">
      <c r="A68" s="1">
        <v>1995</v>
      </c>
      <c r="B68" s="1">
        <v>5</v>
      </c>
      <c r="C68" s="15">
        <v>3.996844838959146</v>
      </c>
      <c r="D68" s="22">
        <f t="shared" si="0"/>
        <v>2.6875033333333338</v>
      </c>
      <c r="E68" s="10">
        <v>6.3122100000000003</v>
      </c>
      <c r="F68" s="10">
        <v>7.4018200000000007</v>
      </c>
      <c r="G68" s="10">
        <v>-5.6515199999999997</v>
      </c>
      <c r="H68" s="16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</row>
    <row r="69" spans="1:27" ht="12.75" customHeight="1" x14ac:dyDescent="0.25">
      <c r="A69" s="1">
        <v>1995</v>
      </c>
      <c r="B69" s="1">
        <v>6</v>
      </c>
      <c r="C69" s="15">
        <v>2.3227378440675572</v>
      </c>
      <c r="D69" s="22">
        <f t="shared" ref="D69:D132" si="1">AVERAGE(E69:G69)</f>
        <v>6.6563433333333331</v>
      </c>
      <c r="E69" s="10">
        <v>2.4547400000000001</v>
      </c>
      <c r="F69" s="10">
        <v>6.2693200000000004</v>
      </c>
      <c r="G69" s="10">
        <v>11.244969999999999</v>
      </c>
      <c r="H69" s="16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</row>
    <row r="70" spans="1:27" ht="12.75" customHeight="1" x14ac:dyDescent="0.25">
      <c r="A70" s="1">
        <v>1995</v>
      </c>
      <c r="B70" s="1">
        <v>7</v>
      </c>
      <c r="C70" s="15">
        <v>3.3162974105108267</v>
      </c>
      <c r="D70" s="22">
        <f t="shared" si="1"/>
        <v>6.4541700000000004</v>
      </c>
      <c r="E70" s="10">
        <v>-1.8793600000000001</v>
      </c>
      <c r="F70" s="10">
        <v>6.8843200000000007</v>
      </c>
      <c r="G70" s="10">
        <v>14.357549999999998</v>
      </c>
      <c r="H70" s="16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</row>
    <row r="71" spans="1:27" ht="12.75" customHeight="1" x14ac:dyDescent="0.25">
      <c r="A71" s="1">
        <v>1995</v>
      </c>
      <c r="B71" s="1">
        <v>8</v>
      </c>
      <c r="C71" s="15">
        <v>0.25132234433258294</v>
      </c>
      <c r="D71" s="22">
        <f t="shared" si="1"/>
        <v>0.29418666666666704</v>
      </c>
      <c r="E71" s="10">
        <v>0.55216999999999994</v>
      </c>
      <c r="F71" s="10">
        <v>-4.2044799999999993</v>
      </c>
      <c r="G71" s="10">
        <v>4.5348700000000006</v>
      </c>
      <c r="H71" s="16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</row>
    <row r="72" spans="1:27" ht="12.75" customHeight="1" x14ac:dyDescent="0.25">
      <c r="A72" s="1">
        <v>1995</v>
      </c>
      <c r="B72" s="1">
        <v>9</v>
      </c>
      <c r="C72" s="15">
        <v>4.2201962849549801</v>
      </c>
      <c r="D72" s="22">
        <f t="shared" si="1"/>
        <v>3.6696600000000004</v>
      </c>
      <c r="E72" s="10">
        <v>6.4934100000000008</v>
      </c>
      <c r="F72" s="10">
        <v>6.5406300000000002</v>
      </c>
      <c r="G72" s="10">
        <v>-2.0250599999999999</v>
      </c>
      <c r="H72" s="16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</row>
    <row r="73" spans="1:27" ht="12.75" customHeight="1" x14ac:dyDescent="0.25">
      <c r="A73" s="1">
        <v>1995</v>
      </c>
      <c r="B73" s="1">
        <v>10</v>
      </c>
      <c r="C73" s="15">
        <v>-0.35739814152967453</v>
      </c>
      <c r="D73" s="22">
        <f t="shared" si="1"/>
        <v>-6.0812033333333337</v>
      </c>
      <c r="E73" s="10">
        <v>4.7110000000000003</v>
      </c>
      <c r="F73" s="10">
        <v>-4.1292999999999997</v>
      </c>
      <c r="G73" s="10">
        <v>-18.825310000000002</v>
      </c>
      <c r="H73" s="16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</row>
    <row r="74" spans="1:27" ht="12.75" customHeight="1" x14ac:dyDescent="0.25">
      <c r="A74" s="1">
        <v>1995</v>
      </c>
      <c r="B74" s="1">
        <v>11</v>
      </c>
      <c r="C74" s="15">
        <v>4.3898677585586077</v>
      </c>
      <c r="D74" s="22">
        <f t="shared" si="1"/>
        <v>2.7975766666666662</v>
      </c>
      <c r="E74" s="10">
        <v>0.49015999999999998</v>
      </c>
      <c r="F74" s="10">
        <v>11.542749999999998</v>
      </c>
      <c r="G74" s="10">
        <v>-3.6401799999999995</v>
      </c>
      <c r="H74" s="16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</row>
    <row r="75" spans="1:27" ht="12.75" customHeight="1" x14ac:dyDescent="0.25">
      <c r="A75" s="1">
        <v>1995</v>
      </c>
      <c r="B75" s="1">
        <v>12</v>
      </c>
      <c r="C75" s="15">
        <v>1.92620007875699</v>
      </c>
      <c r="D75" s="22">
        <f t="shared" si="1"/>
        <v>0.69512666666666634</v>
      </c>
      <c r="E75" s="10">
        <v>7.1847700000000003</v>
      </c>
      <c r="F75" s="10">
        <v>7.4470700000000001</v>
      </c>
      <c r="G75" s="10">
        <v>-12.546460000000002</v>
      </c>
      <c r="H75" s="16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</row>
    <row r="76" spans="1:27" ht="12.75" customHeight="1" x14ac:dyDescent="0.25">
      <c r="A76" s="1">
        <v>1996</v>
      </c>
      <c r="B76" s="1">
        <v>1</v>
      </c>
      <c r="C76" s="15">
        <v>3.4036073844568859</v>
      </c>
      <c r="D76" s="22">
        <f t="shared" si="1"/>
        <v>5.019999999999432E-3</v>
      </c>
      <c r="E76" s="10">
        <v>9.159259999999998</v>
      </c>
      <c r="F76" s="10">
        <v>-1.2176900000000002</v>
      </c>
      <c r="G76" s="10">
        <v>-7.9265099999999995</v>
      </c>
      <c r="H76" s="16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</row>
    <row r="77" spans="1:27" ht="12.75" customHeight="1" x14ac:dyDescent="0.25">
      <c r="A77" s="1">
        <v>1996</v>
      </c>
      <c r="B77" s="1">
        <v>2</v>
      </c>
      <c r="C77" s="15">
        <v>0.92710622710621138</v>
      </c>
      <c r="D77" s="22">
        <f t="shared" si="1"/>
        <v>5.7760699999999998</v>
      </c>
      <c r="E77" s="10">
        <v>-1.85141</v>
      </c>
      <c r="F77" s="10">
        <v>4.9012900000000004</v>
      </c>
      <c r="G77" s="10">
        <v>14.278329999999999</v>
      </c>
      <c r="H77" s="16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</row>
    <row r="78" spans="1:27" ht="12.75" customHeight="1" x14ac:dyDescent="0.25">
      <c r="A78" s="1">
        <v>1996</v>
      </c>
      <c r="B78" s="1">
        <v>3</v>
      </c>
      <c r="C78" s="15">
        <v>0.96262610498758505</v>
      </c>
      <c r="D78" s="22">
        <f t="shared" si="1"/>
        <v>3.3422733333333334</v>
      </c>
      <c r="E78" s="10">
        <v>-2.7239099999999996</v>
      </c>
      <c r="F78" s="10">
        <v>6.6795800000000005</v>
      </c>
      <c r="G78" s="10">
        <v>6.0711500000000003</v>
      </c>
      <c r="H78" s="16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</row>
    <row r="79" spans="1:27" ht="12.75" customHeight="1" x14ac:dyDescent="0.25">
      <c r="A79" s="1">
        <v>1996</v>
      </c>
      <c r="B79" s="1">
        <v>4</v>
      </c>
      <c r="C79" s="15">
        <v>1.4743274818764807</v>
      </c>
      <c r="D79" s="22">
        <f t="shared" si="1"/>
        <v>1.3233699999999999</v>
      </c>
      <c r="E79" s="10">
        <v>-2.7946099999999996</v>
      </c>
      <c r="F79" s="10">
        <v>-5.2947499999999996</v>
      </c>
      <c r="G79" s="10">
        <v>12.059469999999999</v>
      </c>
      <c r="H79" s="16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</row>
    <row r="80" spans="1:27" ht="12.75" customHeight="1" x14ac:dyDescent="0.25">
      <c r="A80" s="1">
        <v>1996</v>
      </c>
      <c r="B80" s="1">
        <v>5</v>
      </c>
      <c r="C80" s="15">
        <v>2.5789569394488288</v>
      </c>
      <c r="D80" s="22">
        <f t="shared" si="1"/>
        <v>2.7284600000000006</v>
      </c>
      <c r="E80" s="10">
        <v>0.14615</v>
      </c>
      <c r="F80" s="10">
        <v>4.0448500000000003</v>
      </c>
      <c r="G80" s="10">
        <v>3.9943800000000005</v>
      </c>
      <c r="H80" s="16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</row>
    <row r="81" spans="1:27" ht="12.75" customHeight="1" x14ac:dyDescent="0.25">
      <c r="A81" s="1">
        <v>1996</v>
      </c>
      <c r="B81" s="1">
        <v>6</v>
      </c>
      <c r="C81" s="15">
        <v>0.38149221705228165</v>
      </c>
      <c r="D81" s="22">
        <f t="shared" si="1"/>
        <v>-1.2550600000000003</v>
      </c>
      <c r="E81" s="10">
        <v>6.1305300000000003</v>
      </c>
      <c r="F81" s="10">
        <v>2.1005900000000004</v>
      </c>
      <c r="G81" s="10">
        <v>-11.996300000000002</v>
      </c>
      <c r="H81" s="16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</row>
    <row r="82" spans="1:27" ht="12.75" customHeight="1" x14ac:dyDescent="0.25">
      <c r="A82" s="1">
        <v>1996</v>
      </c>
      <c r="B82" s="1">
        <v>7</v>
      </c>
      <c r="C82" s="15">
        <v>-4.4180787332226412</v>
      </c>
      <c r="D82" s="22">
        <f t="shared" si="1"/>
        <v>-4.0592899999999998</v>
      </c>
      <c r="E82" s="10">
        <v>-2.7392999999999996</v>
      </c>
      <c r="F82" s="10">
        <v>1.4770299999999998</v>
      </c>
      <c r="G82" s="10">
        <v>-10.915600000000001</v>
      </c>
      <c r="H82" s="16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</row>
    <row r="83" spans="1:27" ht="12.75" customHeight="1" x14ac:dyDescent="0.25">
      <c r="A83" s="1">
        <v>1996</v>
      </c>
      <c r="B83" s="1">
        <v>8</v>
      </c>
      <c r="C83" s="15">
        <v>2.1094636716809667</v>
      </c>
      <c r="D83" s="22">
        <f t="shared" si="1"/>
        <v>2.7206933333333336</v>
      </c>
      <c r="E83" s="10">
        <v>1.34578</v>
      </c>
      <c r="F83" s="10">
        <v>2.4762700000000004</v>
      </c>
      <c r="G83" s="10">
        <v>4.3400300000000005</v>
      </c>
      <c r="H83" s="16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</row>
    <row r="84" spans="1:27" ht="12.75" customHeight="1" x14ac:dyDescent="0.25">
      <c r="A84" s="1">
        <v>1996</v>
      </c>
      <c r="B84" s="1">
        <v>9</v>
      </c>
      <c r="C84" s="15">
        <v>5.6284838743032362</v>
      </c>
      <c r="D84" s="22">
        <f t="shared" si="1"/>
        <v>-2.0126166666666667</v>
      </c>
      <c r="E84" s="10">
        <v>-2.2084299999999994</v>
      </c>
      <c r="F84" s="10">
        <v>4.31989</v>
      </c>
      <c r="G84" s="10">
        <v>-8.1493100000000016</v>
      </c>
      <c r="H84" s="16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</row>
    <row r="85" spans="1:27" ht="12.75" customHeight="1" x14ac:dyDescent="0.25">
      <c r="A85" s="1">
        <v>1996</v>
      </c>
      <c r="B85" s="1">
        <v>10</v>
      </c>
      <c r="C85" s="15">
        <v>2.7580575906096527</v>
      </c>
      <c r="D85" s="22">
        <f t="shared" si="1"/>
        <v>-1.2391666666666665</v>
      </c>
      <c r="E85" s="10">
        <v>2.3615400000000002</v>
      </c>
      <c r="F85" s="10">
        <v>0.82697999999999994</v>
      </c>
      <c r="G85" s="10">
        <v>-6.9060199999999998</v>
      </c>
      <c r="H85" s="16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</row>
    <row r="86" spans="1:27" ht="12.75" customHeight="1" x14ac:dyDescent="0.25">
      <c r="A86" s="1">
        <v>1996</v>
      </c>
      <c r="B86" s="1">
        <v>11</v>
      </c>
      <c r="C86" s="15">
        <v>7.5586732484627994</v>
      </c>
      <c r="D86" s="22">
        <f t="shared" si="1"/>
        <v>5.8724533333333326</v>
      </c>
      <c r="E86" s="10">
        <v>1.04114</v>
      </c>
      <c r="F86" s="10">
        <v>4.3875000000000002</v>
      </c>
      <c r="G86" s="10">
        <v>12.188719999999998</v>
      </c>
      <c r="H86" s="16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</row>
    <row r="87" spans="1:27" ht="12.75" customHeight="1" x14ac:dyDescent="0.25">
      <c r="A87" s="1">
        <v>1996</v>
      </c>
      <c r="B87" s="1">
        <v>12</v>
      </c>
      <c r="C87" s="15">
        <v>-1.9814127441665663</v>
      </c>
      <c r="D87" s="22">
        <f t="shared" si="1"/>
        <v>3.5251833333333331</v>
      </c>
      <c r="E87" s="10">
        <v>-1.0036100000000001</v>
      </c>
      <c r="F87" s="10">
        <v>7.0687300000000004</v>
      </c>
      <c r="G87" s="10">
        <v>4.5104300000000004</v>
      </c>
      <c r="H87" s="16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</row>
    <row r="88" spans="1:27" ht="12.75" customHeight="1" x14ac:dyDescent="0.25">
      <c r="A88" s="1">
        <v>1997</v>
      </c>
      <c r="B88" s="1">
        <v>1</v>
      </c>
      <c r="C88" s="15">
        <v>6.2474779160424543</v>
      </c>
      <c r="D88" s="22">
        <f t="shared" si="1"/>
        <v>1.2470466666666669</v>
      </c>
      <c r="E88" s="10">
        <v>0.50789999999999991</v>
      </c>
      <c r="F88" s="10">
        <v>0.48779</v>
      </c>
      <c r="G88" s="10">
        <v>2.7454500000000004</v>
      </c>
      <c r="H88" s="16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</row>
    <row r="89" spans="1:27" ht="12.75" customHeight="1" x14ac:dyDescent="0.25">
      <c r="A89" s="1">
        <v>1997</v>
      </c>
      <c r="B89" s="1">
        <v>2</v>
      </c>
      <c r="C89" s="15">
        <v>0.78377101129656346</v>
      </c>
      <c r="D89" s="22">
        <f t="shared" si="1"/>
        <v>2.8742466666666662</v>
      </c>
      <c r="E89" s="10">
        <v>2.2565000000000004</v>
      </c>
      <c r="F89" s="10">
        <v>-4.8570199999999994</v>
      </c>
      <c r="G89" s="10">
        <v>11.223259999999998</v>
      </c>
      <c r="H89" s="16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</row>
    <row r="90" spans="1:27" ht="12.75" customHeight="1" x14ac:dyDescent="0.25">
      <c r="A90" s="1">
        <v>1997</v>
      </c>
      <c r="B90" s="1">
        <v>3</v>
      </c>
      <c r="C90" s="15">
        <v>-4.1088324218896188</v>
      </c>
      <c r="D90" s="22">
        <f t="shared" si="1"/>
        <v>-1.5543866666666666</v>
      </c>
      <c r="E90" s="10">
        <v>-1.2976100000000002</v>
      </c>
      <c r="F90" s="10">
        <v>-3.1702699999999995</v>
      </c>
      <c r="G90" s="10">
        <v>-0.19528000000000001</v>
      </c>
      <c r="H90" s="16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</row>
    <row r="91" spans="1:27" ht="12.75" customHeight="1" x14ac:dyDescent="0.25">
      <c r="A91" s="1">
        <v>1997</v>
      </c>
      <c r="B91" s="1">
        <v>4</v>
      </c>
      <c r="C91" s="15">
        <v>5.9698880602238935</v>
      </c>
      <c r="D91" s="22">
        <f t="shared" si="1"/>
        <v>0.87123666666666677</v>
      </c>
      <c r="E91" s="10">
        <v>-1.91818</v>
      </c>
      <c r="F91" s="10">
        <v>-0.1</v>
      </c>
      <c r="G91" s="10">
        <v>4.6318900000000003</v>
      </c>
      <c r="H91" s="16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</row>
    <row r="92" spans="1:27" ht="12.75" customHeight="1" x14ac:dyDescent="0.25">
      <c r="A92" s="1">
        <v>1997</v>
      </c>
      <c r="B92" s="1">
        <v>5</v>
      </c>
      <c r="C92" s="15">
        <v>6.0883211396422166</v>
      </c>
      <c r="D92" s="22">
        <f t="shared" si="1"/>
        <v>3.8250666666666664</v>
      </c>
      <c r="E92" s="10">
        <v>1.6901199999999998</v>
      </c>
      <c r="F92" s="10">
        <v>7.0279400000000001</v>
      </c>
      <c r="G92" s="10">
        <v>2.7571400000000001</v>
      </c>
      <c r="H92" s="16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</row>
    <row r="93" spans="1:27" ht="12.75" customHeight="1" x14ac:dyDescent="0.25">
      <c r="A93" s="1">
        <v>1997</v>
      </c>
      <c r="B93" s="1">
        <v>6</v>
      </c>
      <c r="C93" s="15">
        <v>4.4801769050336171</v>
      </c>
      <c r="D93" s="22">
        <f t="shared" si="1"/>
        <v>2.5726033333333338</v>
      </c>
      <c r="E93" s="10">
        <v>3.1320000000000006</v>
      </c>
      <c r="F93" s="10">
        <v>0.61173999999999995</v>
      </c>
      <c r="G93" s="10">
        <v>3.9740700000000002</v>
      </c>
      <c r="H93" s="16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</row>
    <row r="94" spans="1:27" ht="12.75" customHeight="1" x14ac:dyDescent="0.25">
      <c r="A94" s="1">
        <v>1997</v>
      </c>
      <c r="B94" s="1">
        <v>7</v>
      </c>
      <c r="C94" s="15">
        <v>7.9567609353423219</v>
      </c>
      <c r="D94" s="22">
        <f t="shared" si="1"/>
        <v>7.7162033333333335</v>
      </c>
      <c r="E94" s="10">
        <v>6.6051400000000005</v>
      </c>
      <c r="F94" s="10">
        <v>10.500609999999998</v>
      </c>
      <c r="G94" s="10">
        <v>6.0428600000000001</v>
      </c>
      <c r="H94" s="16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</row>
    <row r="95" spans="1:27" ht="12.75" customHeight="1" x14ac:dyDescent="0.25">
      <c r="A95" s="1">
        <v>1997</v>
      </c>
      <c r="B95" s="1">
        <v>8</v>
      </c>
      <c r="C95" s="15">
        <v>-5.6021671155203512</v>
      </c>
      <c r="D95" s="22">
        <f t="shared" si="1"/>
        <v>1.1463399999999997</v>
      </c>
      <c r="E95" s="10">
        <v>-1.1324000000000001</v>
      </c>
      <c r="F95" s="10">
        <v>-6.99749</v>
      </c>
      <c r="G95" s="10">
        <v>11.568909999999999</v>
      </c>
      <c r="H95" s="16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</row>
    <row r="96" spans="1:27" ht="12.75" customHeight="1" x14ac:dyDescent="0.25">
      <c r="A96" s="1">
        <v>1997</v>
      </c>
      <c r="B96" s="1">
        <v>9</v>
      </c>
      <c r="C96" s="15">
        <v>5.476659702073583</v>
      </c>
      <c r="D96" s="22">
        <f t="shared" si="1"/>
        <v>1.7849666666666668</v>
      </c>
      <c r="E96" s="10">
        <v>4.0475900000000005</v>
      </c>
      <c r="F96" s="10">
        <v>-0.21376000000000001</v>
      </c>
      <c r="G96" s="10">
        <v>1.5210699999999999</v>
      </c>
      <c r="H96" s="16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</row>
    <row r="97" spans="1:27" ht="12.75" customHeight="1" x14ac:dyDescent="0.25">
      <c r="A97" s="1">
        <v>1997</v>
      </c>
      <c r="B97" s="1">
        <v>10</v>
      </c>
      <c r="C97" s="15">
        <v>-3.3397145330569811</v>
      </c>
      <c r="D97" s="22">
        <f t="shared" si="1"/>
        <v>-2.0165766666666669</v>
      </c>
      <c r="E97" s="10">
        <v>3.7461500000000005</v>
      </c>
      <c r="F97" s="10">
        <v>-11.926300000000001</v>
      </c>
      <c r="G97" s="10">
        <v>2.1304200000000004</v>
      </c>
      <c r="H97" s="16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</row>
    <row r="98" spans="1:27" ht="12.75" customHeight="1" x14ac:dyDescent="0.25">
      <c r="A98" s="1">
        <v>1997</v>
      </c>
      <c r="B98" s="1">
        <v>11</v>
      </c>
      <c r="C98" s="15">
        <v>4.6292313075171565</v>
      </c>
      <c r="D98" s="22">
        <f t="shared" si="1"/>
        <v>14.095879999999999</v>
      </c>
      <c r="E98" s="10">
        <v>6.06508</v>
      </c>
      <c r="F98" s="10">
        <v>10.868749999999999</v>
      </c>
      <c r="G98" s="10">
        <v>25.353809999999999</v>
      </c>
      <c r="H98" s="16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</row>
    <row r="99" spans="1:27" ht="12.75" customHeight="1" x14ac:dyDescent="0.25">
      <c r="A99" s="1">
        <v>1997</v>
      </c>
      <c r="B99" s="1">
        <v>12</v>
      </c>
      <c r="C99" s="15">
        <v>1.71737312161091</v>
      </c>
      <c r="D99" s="22">
        <f t="shared" si="1"/>
        <v>-4.7891599999999999</v>
      </c>
      <c r="E99" s="10">
        <v>4.0603600000000002</v>
      </c>
      <c r="F99" s="10">
        <v>-7.9814099999999994</v>
      </c>
      <c r="G99" s="10">
        <v>-10.446430000000001</v>
      </c>
      <c r="H99" s="16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</row>
    <row r="100" spans="1:27" ht="12.75" customHeight="1" x14ac:dyDescent="0.25">
      <c r="A100" s="1">
        <v>1998</v>
      </c>
      <c r="B100" s="1">
        <v>1</v>
      </c>
      <c r="C100" s="15">
        <v>1.1060800526015546</v>
      </c>
      <c r="D100" s="22">
        <f t="shared" si="1"/>
        <v>-2.3263733333333332</v>
      </c>
      <c r="E100" s="10">
        <v>-4.5784499999999992</v>
      </c>
      <c r="F100" s="10">
        <v>-2.7829899999999999</v>
      </c>
      <c r="G100" s="10">
        <v>0.38232000000000005</v>
      </c>
      <c r="H100" s="16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</row>
    <row r="101" spans="1:27" ht="12.75" customHeight="1" x14ac:dyDescent="0.25">
      <c r="A101" s="1">
        <v>1998</v>
      </c>
      <c r="B101" s="1">
        <v>2</v>
      </c>
      <c r="C101" s="15">
        <v>7.2125295178828486</v>
      </c>
      <c r="D101" s="22">
        <f t="shared" si="1"/>
        <v>9.0991866666666663</v>
      </c>
      <c r="E101" s="10">
        <v>-1.5458700000000001</v>
      </c>
      <c r="F101" s="10">
        <v>14.104719999999999</v>
      </c>
      <c r="G101" s="10">
        <v>14.738709999999999</v>
      </c>
      <c r="H101" s="16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</row>
    <row r="102" spans="1:27" ht="12.75" customHeight="1" x14ac:dyDescent="0.25">
      <c r="A102" s="1">
        <v>1998</v>
      </c>
      <c r="B102" s="1">
        <v>3</v>
      </c>
      <c r="C102" s="15">
        <v>5.1208146027313051</v>
      </c>
      <c r="D102" s="22">
        <f t="shared" si="1"/>
        <v>2.1043833333333333</v>
      </c>
      <c r="E102" s="10">
        <v>4.5875000000000004</v>
      </c>
      <c r="F102" s="10">
        <v>-4.0170500000000002</v>
      </c>
      <c r="G102" s="10">
        <v>5.7427000000000001</v>
      </c>
      <c r="H102" s="16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</row>
    <row r="103" spans="1:27" ht="12.75" customHeight="1" x14ac:dyDescent="0.25">
      <c r="A103" s="1">
        <v>1998</v>
      </c>
      <c r="B103" s="1">
        <v>4</v>
      </c>
      <c r="C103" s="15">
        <v>1.0060831204387499</v>
      </c>
      <c r="D103" s="22">
        <f t="shared" si="1"/>
        <v>-1.1266466666666666</v>
      </c>
      <c r="E103" s="10">
        <v>-5.0751200000000001</v>
      </c>
      <c r="F103" s="10">
        <v>-4.0558800000000002</v>
      </c>
      <c r="G103" s="10">
        <v>5.7510600000000007</v>
      </c>
      <c r="H103" s="16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</row>
    <row r="104" spans="1:27" ht="12.75" customHeight="1" x14ac:dyDescent="0.25">
      <c r="A104" s="1">
        <v>1998</v>
      </c>
      <c r="B104" s="1">
        <v>5</v>
      </c>
      <c r="C104" s="15">
        <v>-1.7187921227490799</v>
      </c>
      <c r="D104" s="22">
        <f t="shared" si="1"/>
        <v>-6.4710299999999998</v>
      </c>
      <c r="E104" s="10">
        <v>-3.8172799999999998</v>
      </c>
      <c r="F104" s="10">
        <v>-4.4405299999999999</v>
      </c>
      <c r="G104" s="10">
        <v>-11.155280000000001</v>
      </c>
      <c r="H104" s="16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</row>
    <row r="105" spans="1:27" ht="12.75" customHeight="1" x14ac:dyDescent="0.25">
      <c r="A105" s="1">
        <v>1998</v>
      </c>
      <c r="B105" s="1">
        <v>6</v>
      </c>
      <c r="C105" s="15">
        <v>4.0618897585273039</v>
      </c>
      <c r="D105" s="22">
        <f t="shared" si="1"/>
        <v>4.3900933333333327</v>
      </c>
      <c r="E105" s="10">
        <v>-0.1</v>
      </c>
      <c r="F105" s="10">
        <v>-6.7743499999999992</v>
      </c>
      <c r="G105" s="10">
        <v>20.044629999999998</v>
      </c>
      <c r="H105" s="16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</row>
    <row r="106" spans="1:27" ht="12.75" customHeight="1" x14ac:dyDescent="0.25">
      <c r="A106" s="1">
        <v>1998</v>
      </c>
      <c r="B106" s="1">
        <v>7</v>
      </c>
      <c r="C106" s="15">
        <v>-1.0648387371064882</v>
      </c>
      <c r="D106" s="22">
        <f t="shared" si="1"/>
        <v>-3.8356466666666669</v>
      </c>
      <c r="E106" s="10">
        <v>-5.4707999999999997</v>
      </c>
      <c r="F106" s="10">
        <v>-13.003080000000001</v>
      </c>
      <c r="G106" s="10">
        <v>6.9669400000000001</v>
      </c>
      <c r="H106" s="16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</row>
    <row r="107" spans="1:27" ht="12.75" customHeight="1" x14ac:dyDescent="0.25">
      <c r="A107" s="1">
        <v>1998</v>
      </c>
      <c r="B107" s="1">
        <v>8</v>
      </c>
      <c r="C107" s="15">
        <v>-14.457718218420057</v>
      </c>
      <c r="D107" s="22">
        <f t="shared" si="1"/>
        <v>-5.8024366666666678</v>
      </c>
      <c r="E107" s="10">
        <v>6.68187</v>
      </c>
      <c r="F107" s="10">
        <v>-20.028890000000001</v>
      </c>
      <c r="G107" s="10">
        <v>-4.0602900000000002</v>
      </c>
      <c r="H107" s="16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</row>
    <row r="108" spans="1:27" ht="12.75" customHeight="1" x14ac:dyDescent="0.25">
      <c r="A108" s="1">
        <v>1998</v>
      </c>
      <c r="B108" s="1">
        <v>9</v>
      </c>
      <c r="C108" s="15">
        <v>6.4060393970495344</v>
      </c>
      <c r="D108" s="22">
        <f t="shared" si="1"/>
        <v>5.5720700000000001</v>
      </c>
      <c r="E108" s="10">
        <v>7.7740300000000007</v>
      </c>
      <c r="F108" s="10">
        <v>10.808909999999999</v>
      </c>
      <c r="G108" s="10">
        <v>-1.86673</v>
      </c>
      <c r="H108" s="16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</row>
    <row r="109" spans="1:27" ht="12.75" customHeight="1" x14ac:dyDescent="0.25">
      <c r="A109" s="1">
        <v>1998</v>
      </c>
      <c r="B109" s="1">
        <v>10</v>
      </c>
      <c r="C109" s="15">
        <v>8.1341989203888474</v>
      </c>
      <c r="D109" s="22">
        <f t="shared" si="1"/>
        <v>0.69023333333333259</v>
      </c>
      <c r="E109" s="10">
        <v>0.15608</v>
      </c>
      <c r="F109" s="10">
        <v>9.3716299999999979</v>
      </c>
      <c r="G109" s="10">
        <v>-7.4570099999999995</v>
      </c>
      <c r="H109" s="16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</row>
    <row r="110" spans="1:27" ht="12.75" customHeight="1" x14ac:dyDescent="0.25">
      <c r="A110" s="1">
        <v>1998</v>
      </c>
      <c r="B110" s="1">
        <v>11</v>
      </c>
      <c r="C110" s="15">
        <v>6.0607892486682191</v>
      </c>
      <c r="D110" s="22">
        <f t="shared" si="1"/>
        <v>-1.6220066666666673</v>
      </c>
      <c r="E110" s="10">
        <v>-4.1111999999999993</v>
      </c>
      <c r="F110" s="10">
        <v>8.4243499999999987</v>
      </c>
      <c r="G110" s="10">
        <v>-9.1791700000000009</v>
      </c>
      <c r="H110" s="16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</row>
    <row r="111" spans="1:27" ht="12.75" customHeight="1" x14ac:dyDescent="0.25">
      <c r="A111" s="1">
        <v>1998</v>
      </c>
      <c r="B111" s="1">
        <v>12</v>
      </c>
      <c r="C111" s="15">
        <v>5.7625165055430028</v>
      </c>
      <c r="D111" s="22">
        <f t="shared" si="1"/>
        <v>-8.9626466666666662</v>
      </c>
      <c r="E111" s="10">
        <v>1.3835599999999999</v>
      </c>
      <c r="F111" s="10">
        <v>-19.792310000000001</v>
      </c>
      <c r="G111" s="10">
        <v>-8.4791900000000009</v>
      </c>
      <c r="H111" s="16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</row>
    <row r="112" spans="1:27" ht="12.75" customHeight="1" x14ac:dyDescent="0.25">
      <c r="A112" s="1">
        <v>1999</v>
      </c>
      <c r="B112" s="1">
        <v>1</v>
      </c>
      <c r="C112" s="15">
        <v>4.1816017427482199</v>
      </c>
      <c r="D112" s="22">
        <f t="shared" si="1"/>
        <v>10.074626666666665</v>
      </c>
      <c r="E112" s="10">
        <v>-7.0056399999999996</v>
      </c>
      <c r="F112" s="10">
        <v>6.2233700000000001</v>
      </c>
      <c r="G112" s="10">
        <v>31.006149999999998</v>
      </c>
      <c r="H112" s="16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</row>
    <row r="113" spans="1:27" ht="12.75" customHeight="1" x14ac:dyDescent="0.25">
      <c r="A113" s="1">
        <v>1999</v>
      </c>
      <c r="B113" s="1">
        <v>2</v>
      </c>
      <c r="C113" s="15">
        <v>-3.1078737745274032</v>
      </c>
      <c r="D113" s="22">
        <f t="shared" si="1"/>
        <v>0.73047666666666711</v>
      </c>
      <c r="E113" s="10">
        <v>-3.7244999999999995</v>
      </c>
      <c r="F113" s="10">
        <v>3.0048200000000005</v>
      </c>
      <c r="G113" s="10">
        <v>2.9111100000000003</v>
      </c>
      <c r="H113" s="16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</row>
    <row r="114" spans="1:27" ht="12.75" customHeight="1" x14ac:dyDescent="0.25">
      <c r="A114" s="1">
        <v>1999</v>
      </c>
      <c r="B114" s="1">
        <v>3</v>
      </c>
      <c r="C114" s="15">
        <v>4.0008494649616422</v>
      </c>
      <c r="D114" s="22">
        <f t="shared" si="1"/>
        <v>1.7948866666666661</v>
      </c>
      <c r="E114" s="10">
        <v>-4.75345</v>
      </c>
      <c r="F114" s="10">
        <v>-4.6613999999999995</v>
      </c>
      <c r="G114" s="10">
        <v>14.799509999999998</v>
      </c>
      <c r="H114" s="16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</row>
    <row r="115" spans="1:27" ht="12.75" customHeight="1" x14ac:dyDescent="0.25">
      <c r="A115" s="1">
        <v>1999</v>
      </c>
      <c r="B115" s="1">
        <v>4</v>
      </c>
      <c r="C115" s="15">
        <v>3.8725493551264867</v>
      </c>
      <c r="D115" s="22">
        <f t="shared" si="1"/>
        <v>12.532626666666665</v>
      </c>
      <c r="E115" s="10">
        <v>4.3093900000000005</v>
      </c>
      <c r="F115" s="10">
        <v>19.385289999999998</v>
      </c>
      <c r="G115" s="10">
        <v>13.903199999999998</v>
      </c>
      <c r="H115" s="16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</row>
    <row r="116" spans="1:27" ht="12.75" customHeight="1" x14ac:dyDescent="0.25">
      <c r="A116" s="1">
        <v>1999</v>
      </c>
      <c r="B116" s="1">
        <v>5</v>
      </c>
      <c r="C116" s="15">
        <v>-2.3613672131111541</v>
      </c>
      <c r="D116" s="22">
        <f t="shared" si="1"/>
        <v>7.7029233333333336</v>
      </c>
      <c r="E116" s="10">
        <v>6.0224000000000002</v>
      </c>
      <c r="F116" s="10">
        <v>3.7843100000000005</v>
      </c>
      <c r="G116" s="10">
        <v>13.302059999999999</v>
      </c>
      <c r="H116" s="16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</row>
    <row r="117" spans="1:27" ht="12.75" customHeight="1" x14ac:dyDescent="0.25">
      <c r="A117" s="1">
        <v>1999</v>
      </c>
      <c r="B117" s="1">
        <v>6</v>
      </c>
      <c r="C117" s="15">
        <v>5.5497347454000145</v>
      </c>
      <c r="D117" s="22">
        <f t="shared" si="1"/>
        <v>3.1705466666666662</v>
      </c>
      <c r="E117" s="10">
        <v>-13.499420000000001</v>
      </c>
      <c r="F117" s="10">
        <v>4.5050000000000008</v>
      </c>
      <c r="G117" s="10">
        <v>18.506059999999998</v>
      </c>
      <c r="H117" s="16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</row>
    <row r="118" spans="1:27" ht="12.75" customHeight="1" x14ac:dyDescent="0.25">
      <c r="A118" s="1">
        <v>1999</v>
      </c>
      <c r="B118" s="1">
        <v>7</v>
      </c>
      <c r="C118" s="15">
        <v>-3.1224707384924</v>
      </c>
      <c r="D118" s="22">
        <f t="shared" si="1"/>
        <v>0.66278666666666697</v>
      </c>
      <c r="E118" s="10">
        <v>-5.9248799999999999</v>
      </c>
      <c r="F118" s="10">
        <v>3.0250000000000004</v>
      </c>
      <c r="G118" s="10">
        <v>4.8882400000000006</v>
      </c>
      <c r="H118" s="16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</row>
    <row r="119" spans="1:27" ht="12.75" customHeight="1" x14ac:dyDescent="0.25">
      <c r="A119" s="1">
        <v>1999</v>
      </c>
      <c r="B119" s="1">
        <v>8</v>
      </c>
      <c r="C119" s="15">
        <v>-0.49472522262635765</v>
      </c>
      <c r="D119" s="22">
        <f t="shared" si="1"/>
        <v>-1.2328233333333332</v>
      </c>
      <c r="E119" s="10">
        <v>4.2477</v>
      </c>
      <c r="F119" s="10">
        <v>7.1899999999999992E-2</v>
      </c>
      <c r="G119" s="10">
        <v>-8.0180699999999998</v>
      </c>
      <c r="H119" s="16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</row>
    <row r="120" spans="1:27" ht="12.75" customHeight="1" x14ac:dyDescent="0.25">
      <c r="A120" s="1">
        <v>1999</v>
      </c>
      <c r="B120" s="1">
        <v>9</v>
      </c>
      <c r="C120" s="15">
        <v>-2.7413986179419925</v>
      </c>
      <c r="D120" s="22">
        <f t="shared" si="1"/>
        <v>-0.91968333333333396</v>
      </c>
      <c r="E120" s="10">
        <v>-6.1253899999999994</v>
      </c>
      <c r="F120" s="10">
        <v>-6.03207</v>
      </c>
      <c r="G120" s="10">
        <v>9.3984099999999984</v>
      </c>
      <c r="H120" s="16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</row>
    <row r="121" spans="1:27" ht="12.75" customHeight="1" x14ac:dyDescent="0.25">
      <c r="A121" s="1">
        <v>1999</v>
      </c>
      <c r="B121" s="1">
        <v>10</v>
      </c>
      <c r="C121" s="15">
        <v>6.328068656942043</v>
      </c>
      <c r="D121" s="22">
        <f t="shared" si="1"/>
        <v>10.249916666666666</v>
      </c>
      <c r="E121" s="10">
        <v>0.9988999999999999</v>
      </c>
      <c r="F121" s="10">
        <v>7.9656899999999995</v>
      </c>
      <c r="G121" s="10">
        <v>21.785159999999998</v>
      </c>
      <c r="H121" s="16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</row>
    <row r="122" spans="1:27" ht="12.75" customHeight="1" x14ac:dyDescent="0.25">
      <c r="A122" s="1">
        <v>1999</v>
      </c>
      <c r="B122" s="1">
        <v>11</v>
      </c>
      <c r="C122" s="15">
        <v>2.0328316773894572</v>
      </c>
      <c r="D122" s="22">
        <f t="shared" si="1"/>
        <v>0.83549999999999969</v>
      </c>
      <c r="E122" s="10">
        <v>-7.4188399999999994</v>
      </c>
      <c r="F122" s="10">
        <v>-11.601640000000002</v>
      </c>
      <c r="G122" s="10">
        <v>21.526979999999998</v>
      </c>
      <c r="H122" s="16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</row>
    <row r="123" spans="1:27" ht="12.75" customHeight="1" x14ac:dyDescent="0.25">
      <c r="A123" s="1">
        <v>1999</v>
      </c>
      <c r="B123" s="1">
        <v>12</v>
      </c>
      <c r="C123" s="15">
        <v>5.8896158661477127</v>
      </c>
      <c r="D123" s="22">
        <f t="shared" si="1"/>
        <v>-10.547799999999997</v>
      </c>
      <c r="E123" s="10">
        <v>2.2904400000000003</v>
      </c>
      <c r="F123" s="10">
        <v>1.90123</v>
      </c>
      <c r="G123" s="10">
        <v>-35.835069999999995</v>
      </c>
      <c r="H123" s="16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</row>
    <row r="124" spans="1:27" ht="12.75" customHeight="1" x14ac:dyDescent="0.25">
      <c r="A124" s="1">
        <v>2000</v>
      </c>
      <c r="B124" s="1">
        <v>1</v>
      </c>
      <c r="C124" s="15">
        <v>-5.0242381397852416</v>
      </c>
      <c r="D124" s="22">
        <f t="shared" si="1"/>
        <v>3.5777266666666669</v>
      </c>
      <c r="E124" s="10">
        <v>4.1801600000000008</v>
      </c>
      <c r="F124" s="10">
        <v>7.2893500000000007</v>
      </c>
      <c r="G124" s="10">
        <v>-0.73633000000000004</v>
      </c>
      <c r="H124" s="16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</row>
    <row r="125" spans="1:27" ht="12.75" customHeight="1" x14ac:dyDescent="0.25">
      <c r="A125" s="1">
        <v>2000</v>
      </c>
      <c r="B125" s="1">
        <v>2</v>
      </c>
      <c r="C125" s="15">
        <v>-1.8929692615169635</v>
      </c>
      <c r="D125" s="22">
        <f t="shared" si="1"/>
        <v>-17.827673333333337</v>
      </c>
      <c r="E125" s="10">
        <v>-14.353730000000001</v>
      </c>
      <c r="F125" s="10">
        <v>-16.778650000000003</v>
      </c>
      <c r="G125" s="10">
        <v>-22.350640000000002</v>
      </c>
      <c r="H125" s="16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</row>
    <row r="126" spans="1:27" ht="12.75" customHeight="1" x14ac:dyDescent="0.25">
      <c r="A126" s="1">
        <v>2000</v>
      </c>
      <c r="B126" s="1">
        <v>3</v>
      </c>
      <c r="C126" s="15">
        <v>9.7828562691034016</v>
      </c>
      <c r="D126" s="22">
        <f t="shared" si="1"/>
        <v>13.922660000000002</v>
      </c>
      <c r="E126" s="10">
        <v>5.9017800000000005</v>
      </c>
      <c r="F126" s="10">
        <v>2.2688300000000003</v>
      </c>
      <c r="G126" s="10">
        <v>33.597370000000005</v>
      </c>
      <c r="H126" s="16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</row>
    <row r="127" spans="1:27" ht="12.75" customHeight="1" x14ac:dyDescent="0.25">
      <c r="A127" s="1">
        <v>2000</v>
      </c>
      <c r="B127" s="1">
        <v>4</v>
      </c>
      <c r="C127" s="15">
        <v>-3.0085711149123284</v>
      </c>
      <c r="D127" s="22">
        <f t="shared" si="1"/>
        <v>13.274323333333333</v>
      </c>
      <c r="E127" s="10">
        <v>22.749089999999999</v>
      </c>
      <c r="F127" s="10">
        <v>4.8586100000000005</v>
      </c>
      <c r="G127" s="10">
        <v>12.215269999999999</v>
      </c>
      <c r="H127" s="16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</row>
    <row r="128" spans="1:27" ht="12.75" customHeight="1" x14ac:dyDescent="0.25">
      <c r="A128" s="1">
        <v>2000</v>
      </c>
      <c r="B128" s="1">
        <v>5</v>
      </c>
      <c r="C128" s="15">
        <v>-2.051707537437375</v>
      </c>
      <c r="D128" s="22">
        <f t="shared" si="1"/>
        <v>-9.3342533333333346</v>
      </c>
      <c r="E128" s="10">
        <v>-1.3614300000000001</v>
      </c>
      <c r="F128" s="10">
        <v>-1.32203</v>
      </c>
      <c r="G128" s="10">
        <v>-25.319300000000002</v>
      </c>
      <c r="H128" s="16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</row>
    <row r="129" spans="1:27" ht="12.75" customHeight="1" x14ac:dyDescent="0.25">
      <c r="A129" s="1">
        <v>2000</v>
      </c>
      <c r="B129" s="1">
        <v>6</v>
      </c>
      <c r="C129" s="15">
        <v>2.4653316710793627</v>
      </c>
      <c r="D129" s="22">
        <f t="shared" si="1"/>
        <v>0.43850333333333208</v>
      </c>
      <c r="E129" s="10">
        <v>-16.797130000000003</v>
      </c>
      <c r="F129" s="10">
        <v>6.9399100000000002</v>
      </c>
      <c r="G129" s="10">
        <v>11.172729999999998</v>
      </c>
      <c r="H129" s="16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</row>
    <row r="130" spans="1:27" ht="12.75" customHeight="1" x14ac:dyDescent="0.25">
      <c r="A130" s="1">
        <v>2000</v>
      </c>
      <c r="B130" s="1">
        <v>7</v>
      </c>
      <c r="C130" s="15">
        <v>-1.5634206564886122</v>
      </c>
      <c r="D130" s="22">
        <f t="shared" si="1"/>
        <v>15.399916666666664</v>
      </c>
      <c r="E130" s="10">
        <v>10.661179999999998</v>
      </c>
      <c r="F130" s="10">
        <v>16.641209999999997</v>
      </c>
      <c r="G130" s="10">
        <v>18.897359999999999</v>
      </c>
      <c r="H130" s="16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</row>
    <row r="131" spans="1:27" ht="12.75" customHeight="1" x14ac:dyDescent="0.25">
      <c r="A131" s="1">
        <v>2000</v>
      </c>
      <c r="B131" s="1">
        <v>8</v>
      </c>
      <c r="C131" s="15">
        <v>6.2114374917039195</v>
      </c>
      <c r="D131" s="22">
        <f t="shared" si="1"/>
        <v>7.810226666666666</v>
      </c>
      <c r="E131" s="10">
        <v>8.7745299999999986</v>
      </c>
      <c r="F131" s="10">
        <v>10.044839999999999</v>
      </c>
      <c r="G131" s="10">
        <v>4.6113100000000005</v>
      </c>
      <c r="H131" s="16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</row>
    <row r="132" spans="1:27" ht="12.75" customHeight="1" x14ac:dyDescent="0.25">
      <c r="A132" s="1">
        <v>2000</v>
      </c>
      <c r="B132" s="1">
        <v>9</v>
      </c>
      <c r="C132" s="15">
        <v>-5.2793342811741972</v>
      </c>
      <c r="D132" s="22">
        <f t="shared" si="1"/>
        <v>12.732186666666665</v>
      </c>
      <c r="E132" s="10">
        <v>11.111389999999998</v>
      </c>
      <c r="F132" s="10">
        <v>17.61562</v>
      </c>
      <c r="G132" s="10">
        <v>9.4695499999999981</v>
      </c>
      <c r="H132" s="16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</row>
    <row r="133" spans="1:27" ht="12.75" customHeight="1" x14ac:dyDescent="0.25">
      <c r="A133" s="1">
        <v>2000</v>
      </c>
      <c r="B133" s="1">
        <v>10</v>
      </c>
      <c r="C133" s="15">
        <v>-0.42275948010668252</v>
      </c>
      <c r="D133" s="22">
        <f t="shared" ref="D133:D196" si="2">AVERAGE(E133:G133)</f>
        <v>1.8760800000000002</v>
      </c>
      <c r="E133" s="10">
        <v>6.1386400000000005</v>
      </c>
      <c r="F133" s="10">
        <v>7.3265400000000005</v>
      </c>
      <c r="G133" s="10">
        <v>-7.8369399999999994</v>
      </c>
      <c r="H133" s="16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</row>
    <row r="134" spans="1:27" ht="12.75" customHeight="1" x14ac:dyDescent="0.25">
      <c r="A134" s="1">
        <v>2000</v>
      </c>
      <c r="B134" s="1">
        <v>11</v>
      </c>
      <c r="C134" s="15">
        <v>-7.8839541439010947</v>
      </c>
      <c r="D134" s="22">
        <f t="shared" si="2"/>
        <v>-2.4482466666666673</v>
      </c>
      <c r="E134" s="10">
        <v>12.189159999999999</v>
      </c>
      <c r="F134" s="10">
        <v>1.9497499999999999</v>
      </c>
      <c r="G134" s="10">
        <v>-21.483650000000001</v>
      </c>
      <c r="H134" s="16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</row>
    <row r="135" spans="1:27" ht="12.75" customHeight="1" x14ac:dyDescent="0.25">
      <c r="A135" s="1">
        <v>2000</v>
      </c>
      <c r="B135" s="1">
        <v>12</v>
      </c>
      <c r="C135" s="15">
        <v>0.48944003990338825</v>
      </c>
      <c r="D135" s="22">
        <f t="shared" si="2"/>
        <v>-4.0654633333333337</v>
      </c>
      <c r="E135" s="10">
        <v>0.98695999999999984</v>
      </c>
      <c r="F135" s="10">
        <v>-4.5350799999999998</v>
      </c>
      <c r="G135" s="10">
        <v>-8.6482700000000019</v>
      </c>
      <c r="H135" s="16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</row>
    <row r="136" spans="1:27" ht="12.75" customHeight="1" x14ac:dyDescent="0.25">
      <c r="A136" s="1">
        <v>2001</v>
      </c>
      <c r="B136" s="1">
        <v>1</v>
      </c>
      <c r="C136" s="15">
        <v>3.5479069210527125</v>
      </c>
      <c r="D136" s="22">
        <f t="shared" si="2"/>
        <v>3.3020633333333329</v>
      </c>
      <c r="E136" s="10">
        <v>-7.0892499999999998</v>
      </c>
      <c r="F136" s="10">
        <v>-11.463640000000002</v>
      </c>
      <c r="G136" s="10">
        <v>28.45908</v>
      </c>
      <c r="H136" s="16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</row>
    <row r="137" spans="1:27" ht="12.75" customHeight="1" x14ac:dyDescent="0.25">
      <c r="A137" s="1">
        <v>2001</v>
      </c>
      <c r="B137" s="1">
        <v>2</v>
      </c>
      <c r="C137" s="15">
        <v>-9.11816911276585</v>
      </c>
      <c r="D137" s="22">
        <f t="shared" si="2"/>
        <v>-1.5388733333333338</v>
      </c>
      <c r="E137" s="10">
        <v>11.206359999999998</v>
      </c>
      <c r="F137" s="10">
        <v>6.51539</v>
      </c>
      <c r="G137" s="10">
        <v>-22.338370000000001</v>
      </c>
      <c r="H137" s="16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</row>
    <row r="138" spans="1:27" ht="12.75" customHeight="1" x14ac:dyDescent="0.25">
      <c r="A138" s="1">
        <v>2001</v>
      </c>
      <c r="B138" s="1">
        <v>3</v>
      </c>
      <c r="C138" s="15">
        <v>-6.3350635455373556</v>
      </c>
      <c r="D138" s="22">
        <f t="shared" si="2"/>
        <v>-8.67239</v>
      </c>
      <c r="E138" s="10">
        <v>-1.2358900000000002</v>
      </c>
      <c r="F138" s="10">
        <v>-10.534080000000001</v>
      </c>
      <c r="G138" s="10">
        <v>-14.247200000000001</v>
      </c>
      <c r="H138" s="16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</row>
    <row r="139" spans="1:27" ht="12.75" customHeight="1" x14ac:dyDescent="0.25">
      <c r="A139" s="1">
        <v>2001</v>
      </c>
      <c r="B139" s="1">
        <v>4</v>
      </c>
      <c r="C139" s="15">
        <v>7.7710481452415214</v>
      </c>
      <c r="D139" s="22">
        <f t="shared" si="2"/>
        <v>-0.3021433333333346</v>
      </c>
      <c r="E139" s="10">
        <v>4.8787200000000004</v>
      </c>
      <c r="F139" s="10">
        <v>10.831609999999998</v>
      </c>
      <c r="G139" s="10">
        <v>-16.616760000000003</v>
      </c>
      <c r="H139" s="16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</row>
    <row r="140" spans="1:27" ht="12.75" customHeight="1" x14ac:dyDescent="0.25">
      <c r="A140" s="1">
        <v>2001</v>
      </c>
      <c r="B140" s="1">
        <v>5</v>
      </c>
      <c r="C140" s="15">
        <v>0.66999275807382297</v>
      </c>
      <c r="D140" s="22">
        <f t="shared" si="2"/>
        <v>-2.1341100000000002</v>
      </c>
      <c r="E140" s="10">
        <v>2.8590600000000004</v>
      </c>
      <c r="F140" s="10">
        <v>1.9388399999999999</v>
      </c>
      <c r="G140" s="10">
        <v>-11.200230000000001</v>
      </c>
      <c r="H140" s="16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</row>
    <row r="141" spans="1:27" ht="12.75" customHeight="1" x14ac:dyDescent="0.25">
      <c r="A141" s="1">
        <v>2001</v>
      </c>
      <c r="B141" s="1">
        <v>6</v>
      </c>
      <c r="C141" s="15">
        <v>-2.4338592419494653</v>
      </c>
      <c r="D141" s="22">
        <f t="shared" si="2"/>
        <v>-2.5695866666666678</v>
      </c>
      <c r="E141" s="10">
        <v>-8.1278900000000007</v>
      </c>
      <c r="F141" s="10">
        <v>-11.691670000000002</v>
      </c>
      <c r="G141" s="10">
        <v>12.110799999999999</v>
      </c>
      <c r="H141" s="16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</row>
    <row r="142" spans="1:27" ht="12.75" customHeight="1" x14ac:dyDescent="0.25">
      <c r="A142" s="1">
        <v>2001</v>
      </c>
      <c r="B142" s="1">
        <v>7</v>
      </c>
      <c r="C142" s="15">
        <v>-0.98441307083095841</v>
      </c>
      <c r="D142" s="22">
        <f t="shared" si="2"/>
        <v>-1.668983333333333</v>
      </c>
      <c r="E142" s="10">
        <v>-2.6341099999999997</v>
      </c>
      <c r="F142" s="10">
        <v>5.1697800000000003</v>
      </c>
      <c r="G142" s="10">
        <v>-7.5426199999999994</v>
      </c>
      <c r="H142" s="16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</row>
    <row r="143" spans="1:27" ht="12.75" customHeight="1" x14ac:dyDescent="0.25">
      <c r="A143" s="1">
        <v>2001</v>
      </c>
      <c r="B143" s="17">
        <v>8</v>
      </c>
      <c r="C143" s="15">
        <v>-6.2601599999999991</v>
      </c>
      <c r="D143" s="22">
        <f t="shared" si="2"/>
        <v>-8.8660166666666669</v>
      </c>
      <c r="E143" s="10">
        <v>2.9444500000000002</v>
      </c>
      <c r="F143" s="10">
        <v>-12.333040000000002</v>
      </c>
      <c r="G143" s="10">
        <v>-17.20946</v>
      </c>
      <c r="H143" s="7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</row>
    <row r="144" spans="1:27" ht="12.75" customHeight="1" x14ac:dyDescent="0.25">
      <c r="A144" s="1">
        <v>2001</v>
      </c>
      <c r="B144" s="17">
        <v>9</v>
      </c>
      <c r="C144" s="15">
        <v>-8.0752400000000009</v>
      </c>
      <c r="D144" s="22">
        <f t="shared" si="2"/>
        <v>-12.184093333333331</v>
      </c>
      <c r="E144" s="10">
        <v>-5.6494899999999992</v>
      </c>
      <c r="F144" s="10">
        <v>-34.670309999999994</v>
      </c>
      <c r="G144" s="10">
        <v>3.7675200000000002</v>
      </c>
      <c r="H144" s="7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ht="12.75" customHeight="1" x14ac:dyDescent="0.25">
      <c r="A145" s="1">
        <v>2001</v>
      </c>
      <c r="B145" s="17">
        <v>10</v>
      </c>
      <c r="C145" s="15">
        <v>1.90689</v>
      </c>
      <c r="D145" s="22">
        <f t="shared" si="2"/>
        <v>-1.0038633333333329</v>
      </c>
      <c r="E145" s="10">
        <v>-3.1765699999999994</v>
      </c>
      <c r="F145" s="10">
        <v>-2.7865699999999998</v>
      </c>
      <c r="G145" s="10">
        <v>2.9515500000000006</v>
      </c>
      <c r="H145" s="7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ht="12.75" customHeight="1" x14ac:dyDescent="0.25">
      <c r="A146" s="1">
        <v>2001</v>
      </c>
      <c r="B146" s="17">
        <v>11</v>
      </c>
      <c r="C146" s="15">
        <v>7.6706200000000004</v>
      </c>
      <c r="D146" s="22">
        <f t="shared" si="2"/>
        <v>7.8857333333333317</v>
      </c>
      <c r="E146" s="10">
        <v>-0.21933000000000002</v>
      </c>
      <c r="F146" s="10">
        <v>8.0901799999999984</v>
      </c>
      <c r="G146" s="10">
        <v>15.786349999999999</v>
      </c>
      <c r="H146" s="7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ht="12.75" customHeight="1" x14ac:dyDescent="0.25">
      <c r="A147" s="1">
        <v>2001</v>
      </c>
      <c r="B147" s="17">
        <v>12</v>
      </c>
      <c r="C147" s="15">
        <v>0.87603000000000009</v>
      </c>
      <c r="D147" s="22">
        <f t="shared" si="2"/>
        <v>6.5493533333333325</v>
      </c>
      <c r="E147" s="10">
        <v>5.42727</v>
      </c>
      <c r="F147" s="10">
        <v>10.384329999999999</v>
      </c>
      <c r="G147" s="10">
        <v>3.8364600000000002</v>
      </c>
      <c r="H147" s="7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ht="12.75" customHeight="1" x14ac:dyDescent="0.25">
      <c r="A148" s="1">
        <v>2002</v>
      </c>
      <c r="B148" s="17">
        <v>1</v>
      </c>
      <c r="C148" s="15">
        <v>-1.45932</v>
      </c>
      <c r="D148" s="22">
        <f t="shared" si="2"/>
        <v>1.9670566666666669</v>
      </c>
      <c r="E148" s="10">
        <v>-4.21211</v>
      </c>
      <c r="F148" s="10">
        <v>5.4956700000000005</v>
      </c>
      <c r="G148" s="10">
        <v>4.61761</v>
      </c>
      <c r="H148" s="7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ht="12.75" customHeight="1" x14ac:dyDescent="0.25">
      <c r="A149" s="1">
        <v>2002</v>
      </c>
      <c r="B149" s="17">
        <v>2</v>
      </c>
      <c r="C149" s="15">
        <v>-1.9285099999999999</v>
      </c>
      <c r="D149" s="22">
        <f t="shared" si="2"/>
        <v>1.9659933333333324</v>
      </c>
      <c r="E149" s="10">
        <v>6.3925700000000001</v>
      </c>
      <c r="F149" s="10">
        <v>12.549569999999999</v>
      </c>
      <c r="G149" s="10">
        <v>-13.044160000000002</v>
      </c>
      <c r="H149" s="7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ht="12.75" customHeight="1" x14ac:dyDescent="0.25">
      <c r="A150" s="1">
        <v>2002</v>
      </c>
      <c r="B150" s="17">
        <v>3</v>
      </c>
      <c r="C150" s="15">
        <v>3.7609299999999997</v>
      </c>
      <c r="D150" s="22">
        <f t="shared" si="2"/>
        <v>6.4220433333333338</v>
      </c>
      <c r="E150" s="10">
        <v>5.0083200000000003</v>
      </c>
      <c r="F150" s="10">
        <v>4.8825900000000004</v>
      </c>
      <c r="G150" s="10">
        <v>9.3752199999999988</v>
      </c>
      <c r="H150" s="7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ht="12.75" customHeight="1" x14ac:dyDescent="0.25">
      <c r="A151" s="1">
        <v>2002</v>
      </c>
      <c r="B151" s="17">
        <v>4</v>
      </c>
      <c r="C151" s="15">
        <v>-6.0628099999999998</v>
      </c>
      <c r="D151" s="22">
        <f t="shared" si="2"/>
        <v>-1.5441499999999995</v>
      </c>
      <c r="E151" s="10">
        <v>-0.72920000000000007</v>
      </c>
      <c r="F151" s="10">
        <v>-7.6647699999999999</v>
      </c>
      <c r="G151" s="10">
        <v>3.7615200000000004</v>
      </c>
      <c r="H151" s="7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ht="12.75" customHeight="1" x14ac:dyDescent="0.25">
      <c r="A152" s="1">
        <v>2002</v>
      </c>
      <c r="B152" s="17">
        <v>5</v>
      </c>
      <c r="C152" s="15">
        <v>-0.73670999999999998</v>
      </c>
      <c r="D152" s="22">
        <f t="shared" si="2"/>
        <v>1.984999999999933E-2</v>
      </c>
      <c r="E152" s="10">
        <v>-5.4930099999999999</v>
      </c>
      <c r="F152" s="10">
        <v>-4.0910299999999999</v>
      </c>
      <c r="G152" s="10">
        <v>9.6435899999999979</v>
      </c>
      <c r="H152" s="7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ht="12.75" customHeight="1" x14ac:dyDescent="0.25">
      <c r="A153" s="1">
        <v>2002</v>
      </c>
      <c r="B153" s="17">
        <v>6</v>
      </c>
      <c r="C153" s="15">
        <v>-7.1229799999999992</v>
      </c>
      <c r="D153" s="22">
        <f t="shared" si="2"/>
        <v>-4.4467066666666675</v>
      </c>
      <c r="E153" s="10">
        <v>-6.4421499999999998</v>
      </c>
      <c r="F153" s="10">
        <v>5.4099700000000004</v>
      </c>
      <c r="G153" s="10">
        <v>-12.307940000000002</v>
      </c>
      <c r="H153" s="7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ht="12.75" customHeight="1" x14ac:dyDescent="0.25">
      <c r="A154" s="1">
        <v>2002</v>
      </c>
      <c r="B154" s="17">
        <v>7</v>
      </c>
      <c r="C154" s="15">
        <v>-7.79542</v>
      </c>
      <c r="D154" s="22">
        <f t="shared" si="2"/>
        <v>-13.545480000000003</v>
      </c>
      <c r="E154" s="10">
        <v>-17.866120000000002</v>
      </c>
      <c r="F154" s="10">
        <v>-7.8333299999999992</v>
      </c>
      <c r="G154" s="10">
        <v>-14.936990000000002</v>
      </c>
      <c r="H154" s="7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ht="12.75" customHeight="1" x14ac:dyDescent="0.25">
      <c r="A155" s="1">
        <v>2002</v>
      </c>
      <c r="B155" s="17">
        <v>8</v>
      </c>
      <c r="C155" s="15">
        <v>0.65656000000000003</v>
      </c>
      <c r="D155" s="22">
        <f t="shared" si="2"/>
        <v>-6.684003333333334</v>
      </c>
      <c r="E155" s="10">
        <v>5.33908</v>
      </c>
      <c r="F155" s="10">
        <v>-10.408280000000001</v>
      </c>
      <c r="G155" s="10">
        <v>-14.982810000000001</v>
      </c>
      <c r="H155" s="7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ht="12.75" customHeight="1" x14ac:dyDescent="0.25">
      <c r="A156" s="1">
        <v>2002</v>
      </c>
      <c r="B156" s="17">
        <v>9</v>
      </c>
      <c r="C156" s="15">
        <v>-10.86795</v>
      </c>
      <c r="D156" s="22">
        <f t="shared" si="2"/>
        <v>-10.854439999999999</v>
      </c>
      <c r="E156" s="10">
        <v>-16.49296</v>
      </c>
      <c r="F156" s="10">
        <v>-8.0309399999999993</v>
      </c>
      <c r="G156" s="10">
        <v>-8.0394199999999998</v>
      </c>
      <c r="H156" s="7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ht="12.75" customHeight="1" x14ac:dyDescent="0.25">
      <c r="A157" s="1">
        <v>2002</v>
      </c>
      <c r="B157" s="17">
        <v>10</v>
      </c>
      <c r="C157" s="15">
        <v>8.8015799999999995</v>
      </c>
      <c r="D157" s="22">
        <f t="shared" si="2"/>
        <v>-6.3374933333333345</v>
      </c>
      <c r="E157" s="10">
        <v>-10.166640000000001</v>
      </c>
      <c r="F157" s="10">
        <v>-12.933280000000002</v>
      </c>
      <c r="G157" s="10">
        <v>4.08744</v>
      </c>
      <c r="H157" s="7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ht="12.75" customHeight="1" x14ac:dyDescent="0.25">
      <c r="A158" s="1">
        <v>2002</v>
      </c>
      <c r="B158" s="17">
        <v>11</v>
      </c>
      <c r="C158" s="15">
        <v>5.8859000000000004</v>
      </c>
      <c r="D158" s="22">
        <f t="shared" si="2"/>
        <v>14.14289</v>
      </c>
      <c r="E158" s="10">
        <v>13.082529999999998</v>
      </c>
      <c r="F158" s="10">
        <v>14.757139999999998</v>
      </c>
      <c r="G158" s="10">
        <v>14.588999999999999</v>
      </c>
      <c r="H158" s="7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ht="12.75" customHeight="1" x14ac:dyDescent="0.25">
      <c r="A159" s="1">
        <v>2002</v>
      </c>
      <c r="B159" s="17">
        <v>12</v>
      </c>
      <c r="C159" s="15">
        <v>-5.8747499999999997</v>
      </c>
      <c r="D159" s="22">
        <f t="shared" si="2"/>
        <v>-9.4002200000000009</v>
      </c>
      <c r="E159" s="10">
        <v>-3.9353299999999996</v>
      </c>
      <c r="F159" s="10">
        <v>-3.0705899999999997</v>
      </c>
      <c r="G159" s="10">
        <v>-21.194740000000003</v>
      </c>
      <c r="H159" s="7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ht="12.75" customHeight="1" x14ac:dyDescent="0.25">
      <c r="A160" s="1">
        <v>2003</v>
      </c>
      <c r="B160" s="17">
        <v>1</v>
      </c>
      <c r="C160" s="15">
        <v>-2.6196700000000002</v>
      </c>
      <c r="D160" s="22">
        <f t="shared" si="2"/>
        <v>-3.8872533333333337</v>
      </c>
      <c r="E160" s="10">
        <v>-13.674830000000002</v>
      </c>
      <c r="F160" s="10">
        <v>-4.3437099999999997</v>
      </c>
      <c r="G160" s="10">
        <v>6.3567800000000005</v>
      </c>
      <c r="H160" s="7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ht="12.75" customHeight="1" x14ac:dyDescent="0.25">
      <c r="A161" s="1">
        <v>2003</v>
      </c>
      <c r="B161" s="17">
        <v>2</v>
      </c>
      <c r="C161" s="15">
        <v>-1.50038</v>
      </c>
      <c r="D161" s="22">
        <f t="shared" si="2"/>
        <v>-6.4409133333333344</v>
      </c>
      <c r="E161" s="10">
        <v>-5.3497899999999996</v>
      </c>
      <c r="F161" s="10">
        <v>-12.319060000000002</v>
      </c>
      <c r="G161" s="10">
        <v>-1.6538900000000001</v>
      </c>
      <c r="H161" s="7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ht="12.75" customHeight="1" x14ac:dyDescent="0.25">
      <c r="A162" s="1">
        <v>2003</v>
      </c>
      <c r="B162" s="17">
        <v>3</v>
      </c>
      <c r="C162" s="15">
        <v>0.97094000000000003</v>
      </c>
      <c r="D162" s="22">
        <f t="shared" si="2"/>
        <v>3.0115033333333323</v>
      </c>
      <c r="E162" s="10">
        <v>4.8127599999999999</v>
      </c>
      <c r="F162" s="10">
        <v>-9.1711200000000019</v>
      </c>
      <c r="G162" s="10">
        <v>13.392869999999998</v>
      </c>
      <c r="H162" s="7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ht="12.75" customHeight="1" x14ac:dyDescent="0.25">
      <c r="A163" s="1">
        <v>2003</v>
      </c>
      <c r="B163" s="17">
        <v>4</v>
      </c>
      <c r="C163" s="15">
        <v>8.2370099999999997</v>
      </c>
      <c r="D163" s="22">
        <f t="shared" si="2"/>
        <v>10.125963333333331</v>
      </c>
      <c r="E163" s="10">
        <v>15.348579999999998</v>
      </c>
      <c r="F163" s="10">
        <v>8.7587399999999977</v>
      </c>
      <c r="G163" s="10">
        <v>6.2705700000000002</v>
      </c>
      <c r="H163" s="7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ht="12.75" customHeight="1" x14ac:dyDescent="0.25">
      <c r="A164" s="1">
        <v>2003</v>
      </c>
      <c r="B164" s="17">
        <v>5</v>
      </c>
      <c r="C164" s="15">
        <v>5.26877</v>
      </c>
      <c r="D164" s="22">
        <f t="shared" si="2"/>
        <v>8.6016299999999983</v>
      </c>
      <c r="E164" s="10">
        <v>11.310159999999998</v>
      </c>
      <c r="F164" s="10">
        <v>12.949849999999998</v>
      </c>
      <c r="G164" s="10">
        <v>1.5448799999999998</v>
      </c>
      <c r="H164" s="7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ht="12.75" customHeight="1" x14ac:dyDescent="0.25">
      <c r="A165" s="1">
        <v>2003</v>
      </c>
      <c r="B165" s="17">
        <v>6</v>
      </c>
      <c r="C165" s="15">
        <v>1.27563</v>
      </c>
      <c r="D165" s="22">
        <f t="shared" si="2"/>
        <v>7.8304633333333333</v>
      </c>
      <c r="E165" s="10">
        <v>2.6203900000000004</v>
      </c>
      <c r="F165" s="10">
        <v>11.800879999999999</v>
      </c>
      <c r="G165" s="10">
        <v>9.0701199999999993</v>
      </c>
      <c r="H165" s="7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ht="12.75" customHeight="1" x14ac:dyDescent="0.25">
      <c r="A166" s="1">
        <v>2003</v>
      </c>
      <c r="B166" s="17">
        <v>7</v>
      </c>
      <c r="C166" s="15">
        <v>1.7631600000000001</v>
      </c>
      <c r="D166" s="22">
        <f t="shared" si="2"/>
        <v>-2.9139666666666666</v>
      </c>
      <c r="E166" s="10">
        <v>-6.03362</v>
      </c>
      <c r="F166" s="10">
        <v>-3.5964999999999998</v>
      </c>
      <c r="G166" s="10">
        <v>0.8882199999999999</v>
      </c>
      <c r="H166" s="7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ht="12.75" customHeight="1" x14ac:dyDescent="0.25">
      <c r="A167" s="1">
        <v>2003</v>
      </c>
      <c r="B167" s="17">
        <v>8</v>
      </c>
      <c r="C167" s="15">
        <v>1.9501999999999999</v>
      </c>
      <c r="D167" s="22">
        <f t="shared" si="2"/>
        <v>9.8862766666666655</v>
      </c>
      <c r="E167" s="10">
        <v>2.0382800000000003</v>
      </c>
      <c r="F167" s="10">
        <v>13.305799999999998</v>
      </c>
      <c r="G167" s="10">
        <v>14.314749999999998</v>
      </c>
      <c r="H167" s="7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ht="12.75" customHeight="1" x14ac:dyDescent="0.25">
      <c r="A168" s="1">
        <v>2003</v>
      </c>
      <c r="B168" s="17">
        <v>9</v>
      </c>
      <c r="C168" s="15">
        <v>-1.0619499999999999</v>
      </c>
      <c r="D168" s="22">
        <f t="shared" si="2"/>
        <v>-3.0201466666666672</v>
      </c>
      <c r="E168" s="10">
        <v>5.8696200000000003</v>
      </c>
      <c r="F168" s="10">
        <v>-8.2840100000000021</v>
      </c>
      <c r="G168" s="10">
        <v>-6.6460499999999998</v>
      </c>
      <c r="H168" s="7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ht="12.75" customHeight="1" x14ac:dyDescent="0.25">
      <c r="A169" s="1">
        <v>2003</v>
      </c>
      <c r="B169" s="17">
        <v>10</v>
      </c>
      <c r="C169" s="15">
        <v>5.6569799999999999</v>
      </c>
      <c r="D169" s="22">
        <f t="shared" si="2"/>
        <v>3.7819233333333329</v>
      </c>
      <c r="E169" s="10">
        <v>-6.1333299999999999</v>
      </c>
      <c r="F169" s="10">
        <v>12.017679999999999</v>
      </c>
      <c r="G169" s="10">
        <v>5.4614200000000004</v>
      </c>
      <c r="H169" s="7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ht="12.75" customHeight="1" x14ac:dyDescent="0.25">
      <c r="A170" s="1">
        <v>2003</v>
      </c>
      <c r="B170" s="17">
        <v>11</v>
      </c>
      <c r="C170" s="15">
        <v>0.87982000000000005</v>
      </c>
      <c r="D170" s="22">
        <f t="shared" si="2"/>
        <v>1.0725766666666667</v>
      </c>
      <c r="E170" s="10">
        <v>-0.63210000000000011</v>
      </c>
      <c r="F170" s="10">
        <v>8.1869999999999984E-2</v>
      </c>
      <c r="G170" s="10">
        <v>3.7679600000000004</v>
      </c>
      <c r="H170" s="7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ht="12.75" customHeight="1" x14ac:dyDescent="0.25">
      <c r="A171" s="1">
        <v>2003</v>
      </c>
      <c r="B171" s="17">
        <v>12</v>
      </c>
      <c r="C171" s="15">
        <v>5.2444699999999997</v>
      </c>
      <c r="D171" s="22">
        <f t="shared" si="2"/>
        <v>6.3153633333333312</v>
      </c>
      <c r="E171" s="10">
        <v>10.084179999999998</v>
      </c>
      <c r="F171" s="10">
        <v>9.6681699999999982</v>
      </c>
      <c r="G171" s="10">
        <v>-0.80626000000000009</v>
      </c>
      <c r="H171" s="7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ht="12.75" customHeight="1" x14ac:dyDescent="0.25">
      <c r="A172" s="1">
        <v>2004</v>
      </c>
      <c r="B172" s="17">
        <v>1</v>
      </c>
      <c r="C172" s="15">
        <v>1.8354999999999999</v>
      </c>
      <c r="D172" s="22">
        <f t="shared" si="2"/>
        <v>3.9938533333333339</v>
      </c>
      <c r="E172" s="10">
        <v>6.9140900000000007</v>
      </c>
      <c r="F172" s="10">
        <v>-1.02549</v>
      </c>
      <c r="G172" s="10">
        <v>6.0929600000000006</v>
      </c>
      <c r="H172" s="7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ht="12.75" customHeight="1" x14ac:dyDescent="0.25">
      <c r="A173" s="1">
        <v>2004</v>
      </c>
      <c r="B173" s="17">
        <v>2</v>
      </c>
      <c r="C173" s="15">
        <v>1.38995</v>
      </c>
      <c r="D173" s="22">
        <f t="shared" si="2"/>
        <v>5.6009700000000002</v>
      </c>
      <c r="E173" s="10">
        <v>6.6381300000000003</v>
      </c>
      <c r="F173" s="10">
        <v>4.18743</v>
      </c>
      <c r="G173" s="10">
        <v>5.9773500000000004</v>
      </c>
      <c r="H173" s="7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ht="12.75" customHeight="1" x14ac:dyDescent="0.25">
      <c r="A174" s="1">
        <v>2004</v>
      </c>
      <c r="B174" s="17">
        <v>3</v>
      </c>
      <c r="C174" s="15">
        <v>-1.50864</v>
      </c>
      <c r="D174" s="22">
        <f t="shared" si="2"/>
        <v>-4.7446166666666665</v>
      </c>
      <c r="E174" s="10">
        <v>-4.67971</v>
      </c>
      <c r="F174" s="10">
        <v>-5.4032099999999996</v>
      </c>
      <c r="G174" s="10">
        <v>-4.1509299999999998</v>
      </c>
      <c r="H174" s="7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ht="12.75" customHeight="1" x14ac:dyDescent="0.25">
      <c r="A175" s="1">
        <v>2004</v>
      </c>
      <c r="B175" s="17">
        <v>4</v>
      </c>
      <c r="C175" s="15">
        <v>-1.5698000000000001</v>
      </c>
      <c r="D175" s="22">
        <f t="shared" si="2"/>
        <v>-3.7088533333333324</v>
      </c>
      <c r="E175" s="10">
        <v>-7.6334099999999996</v>
      </c>
      <c r="F175" s="10">
        <v>3.8444900000000004</v>
      </c>
      <c r="G175" s="10">
        <v>-7.3376399999999995</v>
      </c>
      <c r="H175" s="7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ht="12.75" customHeight="1" x14ac:dyDescent="0.25">
      <c r="A176" s="1">
        <v>2004</v>
      </c>
      <c r="B176" s="17">
        <v>5</v>
      </c>
      <c r="C176" s="15">
        <v>1.3722399999999999</v>
      </c>
      <c r="D176" s="22">
        <f t="shared" si="2"/>
        <v>3.9232533333333333</v>
      </c>
      <c r="E176" s="10">
        <v>5.4190500000000004</v>
      </c>
      <c r="F176" s="10">
        <v>7.6535700000000002</v>
      </c>
      <c r="G176" s="10">
        <v>-1.3028600000000001</v>
      </c>
      <c r="H176" s="7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ht="12.75" customHeight="1" x14ac:dyDescent="0.25">
      <c r="A177" s="1">
        <v>2004</v>
      </c>
      <c r="B177" s="17">
        <v>6</v>
      </c>
      <c r="C177" s="15">
        <v>1.9444900000000001</v>
      </c>
      <c r="D177" s="22">
        <f t="shared" si="2"/>
        <v>2.0609299999999995</v>
      </c>
      <c r="E177" s="10">
        <v>0.62394999999999989</v>
      </c>
      <c r="F177" s="10">
        <v>11.450219999999998</v>
      </c>
      <c r="G177" s="10">
        <v>-5.8913799999999998</v>
      </c>
      <c r="H177" s="7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ht="12.75" customHeight="1" x14ac:dyDescent="0.25">
      <c r="A178" s="1">
        <v>2004</v>
      </c>
      <c r="B178" s="17">
        <v>7</v>
      </c>
      <c r="C178" s="15">
        <v>-3.3096600000000005</v>
      </c>
      <c r="D178" s="22">
        <f t="shared" si="2"/>
        <v>-2.040623333333333</v>
      </c>
      <c r="E178" s="10">
        <v>-2.8812499999999996</v>
      </c>
      <c r="F178" s="10">
        <v>-0.76549000000000011</v>
      </c>
      <c r="G178" s="10">
        <v>-2.4751299999999996</v>
      </c>
      <c r="H178" s="7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ht="12.75" customHeight="1" x14ac:dyDescent="0.25">
      <c r="A179" s="1">
        <v>2004</v>
      </c>
      <c r="B179" s="17">
        <v>8</v>
      </c>
      <c r="C179" s="15">
        <v>0.40449999999999997</v>
      </c>
      <c r="D179" s="22">
        <f t="shared" si="2"/>
        <v>1.9031366666666674</v>
      </c>
      <c r="E179" s="10">
        <v>6.2323700000000004</v>
      </c>
      <c r="F179" s="10">
        <v>3.1906400000000001</v>
      </c>
      <c r="G179" s="10">
        <v>-3.7135999999999996</v>
      </c>
      <c r="H179" s="7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ht="12.75" customHeight="1" x14ac:dyDescent="0.25">
      <c r="A180" s="1">
        <v>2004</v>
      </c>
      <c r="B180" s="17">
        <v>9</v>
      </c>
      <c r="C180" s="15">
        <v>1.0830599999999999</v>
      </c>
      <c r="D180" s="22">
        <f t="shared" si="2"/>
        <v>0.83625000000000016</v>
      </c>
      <c r="E180" s="10">
        <v>-2.4525799999999998</v>
      </c>
      <c r="F180" s="10">
        <v>-1.24899</v>
      </c>
      <c r="G180" s="10">
        <v>6.2103200000000003</v>
      </c>
      <c r="H180" s="7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ht="12.75" customHeight="1" x14ac:dyDescent="0.25">
      <c r="A181" s="1">
        <v>2004</v>
      </c>
      <c r="B181" s="17">
        <v>10</v>
      </c>
      <c r="C181" s="15">
        <v>1.52769</v>
      </c>
      <c r="D181" s="22">
        <f t="shared" si="2"/>
        <v>1.3023966666666671</v>
      </c>
      <c r="E181" s="10">
        <v>2.9350400000000003</v>
      </c>
      <c r="F181" s="10">
        <v>-3.4320399999999998</v>
      </c>
      <c r="G181" s="10">
        <v>4.4041900000000007</v>
      </c>
      <c r="H181" s="7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ht="12.75" customHeight="1" x14ac:dyDescent="0.25">
      <c r="A182" s="1">
        <v>2004</v>
      </c>
      <c r="B182" s="17">
        <v>11</v>
      </c>
      <c r="C182" s="15">
        <v>4.04617</v>
      </c>
      <c r="D182" s="22">
        <f t="shared" si="2"/>
        <v>6.1995533333333341</v>
      </c>
      <c r="E182" s="10">
        <v>4.7284200000000007</v>
      </c>
      <c r="F182" s="10">
        <v>7.6555100000000005</v>
      </c>
      <c r="G182" s="10">
        <v>6.2147300000000003</v>
      </c>
      <c r="H182" s="7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ht="12.75" customHeight="1" x14ac:dyDescent="0.25">
      <c r="A183" s="1">
        <v>2004</v>
      </c>
      <c r="B183" s="17">
        <v>12</v>
      </c>
      <c r="C183" s="15">
        <v>3.40286</v>
      </c>
      <c r="D183" s="22">
        <f t="shared" si="2"/>
        <v>0.32897666666666697</v>
      </c>
      <c r="E183" s="10">
        <v>0.39751000000000003</v>
      </c>
      <c r="F183" s="10">
        <v>-3.4600899999999997</v>
      </c>
      <c r="G183" s="10">
        <v>4.0495100000000006</v>
      </c>
      <c r="H183" s="7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ht="12.75" customHeight="1" x14ac:dyDescent="0.25">
      <c r="A184" s="1">
        <v>2005</v>
      </c>
      <c r="B184" s="17">
        <v>1</v>
      </c>
      <c r="C184" s="15">
        <v>-2.4374799999999999</v>
      </c>
      <c r="D184" s="22">
        <f t="shared" si="2"/>
        <v>0.27330000000000032</v>
      </c>
      <c r="E184" s="10">
        <v>2.5499700000000005</v>
      </c>
      <c r="F184" s="10">
        <v>-2.3599999999999994</v>
      </c>
      <c r="G184" s="10">
        <v>0.62992999999999988</v>
      </c>
      <c r="H184" s="7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ht="12.75" customHeight="1" x14ac:dyDescent="0.25">
      <c r="A185" s="1">
        <v>2005</v>
      </c>
      <c r="B185" s="17">
        <v>2</v>
      </c>
      <c r="C185" s="15">
        <v>2.1044100000000001</v>
      </c>
      <c r="D185" s="22">
        <f t="shared" si="2"/>
        <v>-2.0578900000000009</v>
      </c>
      <c r="E185" s="10">
        <v>-4.3553199999999999</v>
      </c>
      <c r="F185" s="10">
        <v>9.0304399999999987</v>
      </c>
      <c r="G185" s="10">
        <v>-10.848790000000001</v>
      </c>
      <c r="H185" s="7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ht="12.75" customHeight="1" x14ac:dyDescent="0.25">
      <c r="A186" s="1">
        <v>2005</v>
      </c>
      <c r="B186" s="17">
        <v>3</v>
      </c>
      <c r="C186" s="15">
        <v>-1.77081</v>
      </c>
      <c r="D186" s="22">
        <f t="shared" si="2"/>
        <v>-3.0309200000000014</v>
      </c>
      <c r="E186" s="10">
        <v>1.87605</v>
      </c>
      <c r="F186" s="10">
        <v>6.24892</v>
      </c>
      <c r="G186" s="10">
        <v>-17.217730000000003</v>
      </c>
      <c r="H186" s="7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ht="12.75" customHeight="1" x14ac:dyDescent="0.25">
      <c r="A187" s="1">
        <v>2005</v>
      </c>
      <c r="B187" s="17">
        <v>4</v>
      </c>
      <c r="C187" s="15">
        <v>-1.89656</v>
      </c>
      <c r="D187" s="22">
        <f t="shared" si="2"/>
        <v>2.2791133333333335</v>
      </c>
      <c r="E187" s="10">
        <v>3.3057600000000003</v>
      </c>
      <c r="F187" s="10">
        <v>1.7132099999999999</v>
      </c>
      <c r="G187" s="10">
        <v>1.8183699999999998</v>
      </c>
      <c r="H187" s="7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ht="12.75" customHeight="1" x14ac:dyDescent="0.25">
      <c r="A188" s="1">
        <v>2005</v>
      </c>
      <c r="B188" s="17">
        <v>5</v>
      </c>
      <c r="C188" s="15">
        <v>3.1818499999999998</v>
      </c>
      <c r="D188" s="22">
        <f t="shared" si="2"/>
        <v>3.5226766666666669</v>
      </c>
      <c r="E188" s="10">
        <v>2.2282200000000003</v>
      </c>
      <c r="F188" s="10">
        <v>7.6789000000000005</v>
      </c>
      <c r="G188" s="10">
        <v>0.66090999999999989</v>
      </c>
      <c r="H188" s="7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ht="12.75" customHeight="1" x14ac:dyDescent="0.25">
      <c r="A189" s="1">
        <v>2005</v>
      </c>
      <c r="B189" s="17">
        <v>6</v>
      </c>
      <c r="C189" s="15">
        <v>0.14196</v>
      </c>
      <c r="D189" s="22">
        <f t="shared" si="2"/>
        <v>-0.53891333333333336</v>
      </c>
      <c r="E189" s="10">
        <v>3.2062500000000003</v>
      </c>
      <c r="F189" s="10">
        <v>3.1863900000000003</v>
      </c>
      <c r="G189" s="10">
        <v>-8.0093800000000002</v>
      </c>
      <c r="H189" s="7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ht="12.75" customHeight="1" x14ac:dyDescent="0.25">
      <c r="A190" s="1">
        <v>2005</v>
      </c>
      <c r="B190" s="17">
        <v>7</v>
      </c>
      <c r="C190" s="15">
        <v>3.7188400000000001</v>
      </c>
      <c r="D190" s="22">
        <f t="shared" si="2"/>
        <v>1.9911066666666668</v>
      </c>
      <c r="E190" s="10">
        <v>4.8633900000000008</v>
      </c>
      <c r="F190" s="10">
        <v>-8.4850000000000009E-2</v>
      </c>
      <c r="G190" s="10">
        <v>1.19478</v>
      </c>
      <c r="H190" s="7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ht="12.75" customHeight="1" x14ac:dyDescent="0.25">
      <c r="A191" s="1">
        <v>2005</v>
      </c>
      <c r="B191" s="17">
        <v>8</v>
      </c>
      <c r="C191" s="15">
        <v>-0.91239999999999999</v>
      </c>
      <c r="D191" s="22">
        <f t="shared" si="2"/>
        <v>1.786716666666667</v>
      </c>
      <c r="E191" s="10">
        <v>-3.1232599999999997</v>
      </c>
      <c r="F191" s="10">
        <v>1.8088</v>
      </c>
      <c r="G191" s="10">
        <v>6.6746100000000004</v>
      </c>
      <c r="H191" s="7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ht="12.75" customHeight="1" x14ac:dyDescent="0.25">
      <c r="A192" s="1">
        <v>2005</v>
      </c>
      <c r="B192" s="17">
        <v>9</v>
      </c>
      <c r="C192" s="15">
        <v>0.80991999999999986</v>
      </c>
      <c r="D192" s="22">
        <f t="shared" si="2"/>
        <v>2.2759933333333335</v>
      </c>
      <c r="E192" s="10">
        <v>6.6778400000000007</v>
      </c>
      <c r="F192" s="10">
        <v>1.28765</v>
      </c>
      <c r="G192" s="10">
        <v>-1.13751</v>
      </c>
      <c r="H192" s="7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ht="12.75" customHeight="1" x14ac:dyDescent="0.25">
      <c r="A193" s="1">
        <v>2005</v>
      </c>
      <c r="B193" s="17">
        <v>10</v>
      </c>
      <c r="C193" s="15">
        <v>-1.66706</v>
      </c>
      <c r="D193" s="22">
        <f t="shared" si="2"/>
        <v>-6.8137333333333343</v>
      </c>
      <c r="E193" s="10">
        <v>-4.4828699999999992</v>
      </c>
      <c r="F193" s="10">
        <v>-4.9712299999999994</v>
      </c>
      <c r="G193" s="10">
        <v>-10.987100000000002</v>
      </c>
      <c r="H193" s="7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ht="12.75" customHeight="1" x14ac:dyDescent="0.25">
      <c r="A194" s="1">
        <v>2005</v>
      </c>
      <c r="B194" s="17">
        <v>11</v>
      </c>
      <c r="C194" s="15">
        <v>3.7822</v>
      </c>
      <c r="D194" s="22">
        <f t="shared" si="2"/>
        <v>2.3855100000000005</v>
      </c>
      <c r="E194" s="10">
        <v>-2.8660699999999997</v>
      </c>
      <c r="F194" s="10">
        <v>5.7787100000000002</v>
      </c>
      <c r="G194" s="10">
        <v>4.2438900000000004</v>
      </c>
      <c r="H194" s="7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ht="12.75" customHeight="1" x14ac:dyDescent="0.25">
      <c r="A195" s="1">
        <v>2005</v>
      </c>
      <c r="B195" s="17">
        <v>12</v>
      </c>
      <c r="C195" s="15">
        <v>3.4799999999999998E-2</v>
      </c>
      <c r="D195" s="22">
        <f t="shared" si="2"/>
        <v>-1.1973633333333333</v>
      </c>
      <c r="E195" s="10">
        <v>1.4052</v>
      </c>
      <c r="F195" s="10">
        <v>2.9063100000000004</v>
      </c>
      <c r="G195" s="10">
        <v>-7.9036</v>
      </c>
      <c r="H195" s="7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ht="12.75" customHeight="1" x14ac:dyDescent="0.25">
      <c r="A196" s="1">
        <v>2006</v>
      </c>
      <c r="B196" s="17">
        <v>1</v>
      </c>
      <c r="C196" s="15">
        <v>2.6477900000000001</v>
      </c>
      <c r="D196" s="22">
        <f t="shared" si="2"/>
        <v>1.0452900000000003</v>
      </c>
      <c r="E196" s="10">
        <v>0.52010999999999996</v>
      </c>
      <c r="F196" s="10">
        <v>-2.8477199999999998</v>
      </c>
      <c r="G196" s="10">
        <v>5.4634800000000006</v>
      </c>
      <c r="H196" s="7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ht="12.75" customHeight="1" x14ac:dyDescent="0.25">
      <c r="A197" s="1">
        <v>2006</v>
      </c>
      <c r="B197" s="17">
        <v>2</v>
      </c>
      <c r="C197" s="15">
        <v>0.27133000000000002</v>
      </c>
      <c r="D197" s="22">
        <f t="shared" ref="D197:D243" si="3">AVERAGE(E197:G197)</f>
        <v>-2.1972033333333338</v>
      </c>
      <c r="E197" s="10">
        <v>-1.30579</v>
      </c>
      <c r="F197" s="10">
        <v>6.7511200000000002</v>
      </c>
      <c r="G197" s="10">
        <v>-12.036940000000001</v>
      </c>
      <c r="H197" s="7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ht="12.75" customHeight="1" x14ac:dyDescent="0.25">
      <c r="A198" s="1">
        <v>2006</v>
      </c>
      <c r="B198" s="17">
        <v>3</v>
      </c>
      <c r="C198" s="15">
        <v>1.2447600000000001</v>
      </c>
      <c r="D198" s="22">
        <f t="shared" si="3"/>
        <v>-0.5075533333333333</v>
      </c>
      <c r="E198" s="10">
        <v>-6.89452</v>
      </c>
      <c r="F198" s="10">
        <v>7.1086900000000002</v>
      </c>
      <c r="G198" s="10">
        <v>-1.7368300000000001</v>
      </c>
      <c r="H198" s="7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ht="12.75" customHeight="1" x14ac:dyDescent="0.25">
      <c r="A199" s="1">
        <v>2006</v>
      </c>
      <c r="B199" s="17">
        <v>4</v>
      </c>
      <c r="C199" s="15">
        <v>1.3427800000000001</v>
      </c>
      <c r="D199" s="22">
        <f t="shared" si="3"/>
        <v>-2.1530900000000006</v>
      </c>
      <c r="E199" s="10">
        <v>-1.7460900000000001</v>
      </c>
      <c r="F199" s="10">
        <v>6.9832800000000006</v>
      </c>
      <c r="G199" s="10">
        <v>-11.696460000000002</v>
      </c>
      <c r="H199" s="7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ht="12.75" customHeight="1" x14ac:dyDescent="0.25">
      <c r="A200" s="1">
        <v>2006</v>
      </c>
      <c r="B200" s="17">
        <v>5</v>
      </c>
      <c r="C200" s="15">
        <v>-2.8781500000000002</v>
      </c>
      <c r="D200" s="22">
        <f t="shared" si="3"/>
        <v>0.76253666666666664</v>
      </c>
      <c r="E200" s="10">
        <v>3.4266000000000005</v>
      </c>
      <c r="F200" s="10">
        <v>1.983E-2</v>
      </c>
      <c r="G200" s="10">
        <v>-1.1588200000000002</v>
      </c>
      <c r="H200" s="7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ht="12.75" customHeight="1" x14ac:dyDescent="0.25">
      <c r="A201" s="1">
        <v>2006</v>
      </c>
      <c r="B201" s="17">
        <v>6</v>
      </c>
      <c r="C201" s="15">
        <v>0.13557</v>
      </c>
      <c r="D201" s="22">
        <f t="shared" si="3"/>
        <v>-6.2445733333333342</v>
      </c>
      <c r="E201" s="10">
        <v>-0.15836</v>
      </c>
      <c r="F201" s="10">
        <v>-1.7096100000000001</v>
      </c>
      <c r="G201" s="10">
        <v>-16.865750000000002</v>
      </c>
      <c r="H201" s="7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ht="12.75" customHeight="1" x14ac:dyDescent="0.25">
      <c r="A202" s="1">
        <v>2006</v>
      </c>
      <c r="B202" s="17">
        <v>7</v>
      </c>
      <c r="C202" s="15">
        <v>0.61685000000000001</v>
      </c>
      <c r="D202" s="22">
        <f t="shared" si="3"/>
        <v>5.0594066666666668</v>
      </c>
      <c r="E202" s="10">
        <v>5.3598500000000007</v>
      </c>
      <c r="F202" s="10">
        <v>-5.5816299999999996</v>
      </c>
      <c r="G202" s="10">
        <v>15.399999999999999</v>
      </c>
      <c r="H202" s="7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ht="12.75" customHeight="1" x14ac:dyDescent="0.25">
      <c r="A203" s="1">
        <v>2006</v>
      </c>
      <c r="B203" s="17">
        <v>8</v>
      </c>
      <c r="C203" s="15">
        <v>2.3793099999999998</v>
      </c>
      <c r="D203" s="22">
        <f t="shared" si="3"/>
        <v>3.5139566666666666</v>
      </c>
      <c r="E203" s="10">
        <v>1.9210400000000001</v>
      </c>
      <c r="F203" s="10">
        <v>-2.9674799999999997</v>
      </c>
      <c r="G203" s="10">
        <v>11.588309999999998</v>
      </c>
      <c r="H203" s="7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ht="12.75" customHeight="1" x14ac:dyDescent="0.25">
      <c r="A204" s="1">
        <v>2006</v>
      </c>
      <c r="B204" s="17">
        <v>9</v>
      </c>
      <c r="C204" s="15">
        <v>2.5769899999999999</v>
      </c>
      <c r="D204" s="22">
        <f t="shared" si="3"/>
        <v>3.8460533333333338</v>
      </c>
      <c r="E204" s="10">
        <v>-0.40153999999999995</v>
      </c>
      <c r="F204" s="10">
        <v>5.1737000000000002</v>
      </c>
      <c r="G204" s="10">
        <v>6.766</v>
      </c>
      <c r="H204" s="7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ht="12.75" customHeight="1" x14ac:dyDescent="0.25">
      <c r="A205" s="1">
        <v>2006</v>
      </c>
      <c r="B205" s="17">
        <v>10</v>
      </c>
      <c r="C205" s="15">
        <v>3.2586200000000001</v>
      </c>
      <c r="D205" s="22">
        <f t="shared" si="3"/>
        <v>2.4429033333333328</v>
      </c>
      <c r="E205" s="10">
        <v>13.812569999999999</v>
      </c>
      <c r="F205" s="10">
        <v>1.1809099999999999</v>
      </c>
      <c r="G205" s="10">
        <v>-7.6647699999999999</v>
      </c>
      <c r="H205" s="7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ht="12.75" customHeight="1" x14ac:dyDescent="0.25">
      <c r="A206" s="1">
        <v>2006</v>
      </c>
      <c r="B206" s="17">
        <v>11</v>
      </c>
      <c r="C206" s="15">
        <v>1.9015999999999997</v>
      </c>
      <c r="D206" s="22">
        <f t="shared" si="3"/>
        <v>3.9100933333333328</v>
      </c>
      <c r="E206" s="10">
        <v>1.0344399999999998</v>
      </c>
      <c r="F206" s="10">
        <v>11.132159999999999</v>
      </c>
      <c r="G206" s="10">
        <v>-0.43631999999999999</v>
      </c>
      <c r="H206" s="7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ht="12.75" customHeight="1" x14ac:dyDescent="0.25">
      <c r="A207" s="1">
        <v>2006</v>
      </c>
      <c r="B207" s="17">
        <v>12</v>
      </c>
      <c r="C207" s="15">
        <v>1.4027700000000001</v>
      </c>
      <c r="D207" s="22">
        <f t="shared" si="3"/>
        <v>-0.55017666666666643</v>
      </c>
      <c r="E207" s="10">
        <v>2.4776900000000004</v>
      </c>
      <c r="F207" s="10">
        <v>0.25016000000000005</v>
      </c>
      <c r="G207" s="10">
        <v>-4.3783799999999999</v>
      </c>
      <c r="H207" s="7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ht="12.75" customHeight="1" x14ac:dyDescent="0.25">
      <c r="A208" s="1">
        <v>2007</v>
      </c>
      <c r="B208" s="17">
        <v>1</v>
      </c>
      <c r="C208" s="15">
        <v>1.5123200000000001</v>
      </c>
      <c r="D208" s="22">
        <f t="shared" si="3"/>
        <v>11.481983333333332</v>
      </c>
      <c r="E208" s="10">
        <v>2.1310900000000004</v>
      </c>
      <c r="F208" s="10">
        <v>0.71044999999999991</v>
      </c>
      <c r="G208" s="10">
        <v>31.604409999999998</v>
      </c>
      <c r="H208" s="7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ht="12.75" customHeight="1" x14ac:dyDescent="0.25">
      <c r="A209" s="1">
        <v>2007</v>
      </c>
      <c r="B209" s="17">
        <v>2</v>
      </c>
      <c r="C209" s="15">
        <v>-1.9558800000000001</v>
      </c>
      <c r="D209" s="22">
        <f t="shared" si="3"/>
        <v>4.8507699999999998</v>
      </c>
      <c r="E209" s="10">
        <v>3.9431900000000004</v>
      </c>
      <c r="F209" s="10">
        <v>-2.2773099999999995</v>
      </c>
      <c r="G209" s="10">
        <v>12.886429999999999</v>
      </c>
      <c r="H209" s="7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ht="12.75" customHeight="1" x14ac:dyDescent="0.25">
      <c r="A210" s="1">
        <v>2007</v>
      </c>
      <c r="B210" s="17">
        <v>3</v>
      </c>
      <c r="C210" s="15">
        <v>1.11849</v>
      </c>
      <c r="D210" s="22">
        <f t="shared" si="3"/>
        <v>6.138469999999999</v>
      </c>
      <c r="E210" s="10">
        <v>8.4746099999999984</v>
      </c>
      <c r="F210" s="10">
        <v>1.7908999999999999</v>
      </c>
      <c r="G210" s="10">
        <v>8.1498999999999988</v>
      </c>
      <c r="H210" s="7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ht="12.75" customHeight="1" x14ac:dyDescent="0.25">
      <c r="A211" s="1">
        <v>2007</v>
      </c>
      <c r="B211" s="17">
        <v>4</v>
      </c>
      <c r="C211" s="15">
        <v>4.4295400000000003</v>
      </c>
      <c r="D211" s="22">
        <f t="shared" si="3"/>
        <v>4.9542400000000004</v>
      </c>
      <c r="E211" s="10">
        <v>2.9153900000000004</v>
      </c>
      <c r="F211" s="10">
        <v>4.5001600000000002</v>
      </c>
      <c r="G211" s="10">
        <v>7.4471700000000007</v>
      </c>
      <c r="H211" s="7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ht="12.75" customHeight="1" x14ac:dyDescent="0.25">
      <c r="A212" s="1">
        <v>2007</v>
      </c>
      <c r="B212" s="17">
        <v>5</v>
      </c>
      <c r="C212" s="15">
        <v>3.4895</v>
      </c>
      <c r="D212" s="22">
        <f t="shared" si="3"/>
        <v>7.0991900000000001</v>
      </c>
      <c r="E212" s="10">
        <v>-4.4807299999999994</v>
      </c>
      <c r="F212" s="10">
        <v>8.4376399999999983</v>
      </c>
      <c r="G212" s="10">
        <v>17.34066</v>
      </c>
      <c r="H212" s="7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ht="12.75" customHeight="1" x14ac:dyDescent="0.25">
      <c r="A213" s="1">
        <v>2007</v>
      </c>
      <c r="B213" s="17">
        <v>6</v>
      </c>
      <c r="C213" s="15">
        <v>-1.6613199999999999</v>
      </c>
      <c r="D213" s="22">
        <f t="shared" si="3"/>
        <v>-4.3569633333333329</v>
      </c>
      <c r="E213" s="10">
        <v>-5.53775</v>
      </c>
      <c r="F213" s="10">
        <v>-4.5040199999999997</v>
      </c>
      <c r="G213" s="10">
        <v>-3.0291199999999998</v>
      </c>
      <c r="H213" s="7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ht="12.75" customHeight="1" x14ac:dyDescent="0.25">
      <c r="A214" s="1">
        <v>2007</v>
      </c>
      <c r="B214" s="17">
        <v>7</v>
      </c>
      <c r="C214" s="15">
        <v>-3.1004999999999998</v>
      </c>
      <c r="D214" s="22">
        <f t="shared" si="3"/>
        <v>-6.7837533333333342</v>
      </c>
      <c r="E214" s="10">
        <v>-3.5413899999999998</v>
      </c>
      <c r="F214" s="10">
        <v>7.4603200000000003</v>
      </c>
      <c r="G214" s="10">
        <v>-24.270190000000003</v>
      </c>
      <c r="H214" s="7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ht="12.75" customHeight="1" x14ac:dyDescent="0.25">
      <c r="A215" s="1">
        <v>2007</v>
      </c>
      <c r="B215" s="17">
        <v>8</v>
      </c>
      <c r="C215" s="15">
        <v>1.49901</v>
      </c>
      <c r="D215" s="22">
        <f t="shared" si="3"/>
        <v>-2.9023799999999995</v>
      </c>
      <c r="E215" s="10">
        <v>3.0731400000000004</v>
      </c>
      <c r="F215" s="10">
        <v>-6.2684199999999999</v>
      </c>
      <c r="G215" s="10">
        <v>-5.5118599999999995</v>
      </c>
      <c r="H215" s="7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ht="12.75" customHeight="1" x14ac:dyDescent="0.25">
      <c r="A216" s="1">
        <v>2007</v>
      </c>
      <c r="B216" s="17">
        <v>9</v>
      </c>
      <c r="C216" s="15">
        <v>3.7398799999999994</v>
      </c>
      <c r="D216" s="22">
        <f t="shared" si="3"/>
        <v>-0.40456333333333383</v>
      </c>
      <c r="E216" s="10">
        <v>3.4971200000000002</v>
      </c>
      <c r="F216" s="10">
        <v>8.4729099999999988</v>
      </c>
      <c r="G216" s="10">
        <v>-13.183720000000001</v>
      </c>
      <c r="H216" s="7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ht="12.75" customHeight="1" x14ac:dyDescent="0.25">
      <c r="A217" s="1">
        <v>2007</v>
      </c>
      <c r="B217" s="17">
        <v>10</v>
      </c>
      <c r="C217" s="15">
        <v>1.5907</v>
      </c>
      <c r="D217" s="22">
        <f t="shared" si="3"/>
        <v>-0.65567666666666635</v>
      </c>
      <c r="E217" s="10">
        <v>4.5224000000000002</v>
      </c>
      <c r="F217" s="10">
        <v>-6.1958199999999994</v>
      </c>
      <c r="G217" s="10">
        <v>-0.29360999999999998</v>
      </c>
      <c r="H217" s="7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ht="12.75" customHeight="1" x14ac:dyDescent="0.25">
      <c r="A218" s="1">
        <v>2007</v>
      </c>
      <c r="B218" s="17">
        <v>11</v>
      </c>
      <c r="C218" s="15">
        <v>-4.1806599999999996</v>
      </c>
      <c r="D218" s="22">
        <f t="shared" si="3"/>
        <v>-5.140013333333334</v>
      </c>
      <c r="E218" s="10">
        <v>-0.36964999999999998</v>
      </c>
      <c r="F218" s="10">
        <v>-5.8815200000000001</v>
      </c>
      <c r="G218" s="10">
        <v>-9.1688700000000019</v>
      </c>
      <c r="H218" s="7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ht="12.75" customHeight="1" x14ac:dyDescent="0.25">
      <c r="A219" s="1">
        <v>2007</v>
      </c>
      <c r="B219" s="17">
        <v>12</v>
      </c>
      <c r="C219" s="15">
        <v>-0.69377</v>
      </c>
      <c r="D219" s="22">
        <f t="shared" si="3"/>
        <v>-5.6609666666666669</v>
      </c>
      <c r="E219" s="10">
        <v>-2.4285099999999997</v>
      </c>
      <c r="F219" s="10">
        <v>-5.5895199999999994</v>
      </c>
      <c r="G219" s="10">
        <v>-8.9648700000000012</v>
      </c>
      <c r="H219" s="7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ht="12.75" customHeight="1" x14ac:dyDescent="0.25">
      <c r="A220" s="1">
        <v>2008</v>
      </c>
      <c r="B220" s="17">
        <v>1</v>
      </c>
      <c r="C220" s="15">
        <v>-5.9981600000000004</v>
      </c>
      <c r="D220" s="22">
        <f t="shared" si="3"/>
        <v>-3.5044433333333331</v>
      </c>
      <c r="E220" s="10">
        <v>-8.3259500000000006</v>
      </c>
      <c r="F220" s="10">
        <v>-4.9936699999999998</v>
      </c>
      <c r="G220" s="10">
        <v>2.8062900000000002</v>
      </c>
      <c r="H220" s="7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ht="12.75" customHeight="1" x14ac:dyDescent="0.25">
      <c r="A221" s="1">
        <v>2008</v>
      </c>
      <c r="B221" s="17">
        <v>2</v>
      </c>
      <c r="C221" s="15">
        <v>-3.24858</v>
      </c>
      <c r="D221" s="22">
        <f t="shared" si="3"/>
        <v>-0.99599999999999989</v>
      </c>
      <c r="E221" s="10">
        <v>-3.3763899999999998</v>
      </c>
      <c r="F221" s="10">
        <v>-8.7980000000000003E-2</v>
      </c>
      <c r="G221" s="10">
        <v>0.47637000000000002</v>
      </c>
      <c r="H221" s="7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ht="12.75" customHeight="1" x14ac:dyDescent="0.25">
      <c r="A222" s="1">
        <v>2008</v>
      </c>
      <c r="B222" s="17">
        <v>3</v>
      </c>
      <c r="C222" s="15">
        <v>-0.43179000000000006</v>
      </c>
      <c r="D222" s="22">
        <f t="shared" si="3"/>
        <v>-5.2040033333333335</v>
      </c>
      <c r="E222" s="10">
        <v>1.6350899999999999</v>
      </c>
      <c r="F222" s="10">
        <v>-10.270310000000002</v>
      </c>
      <c r="G222" s="10">
        <v>-6.9767899999999994</v>
      </c>
      <c r="H222" s="7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ht="12.75" customHeight="1" x14ac:dyDescent="0.25">
      <c r="A223" s="1">
        <v>2008</v>
      </c>
      <c r="B223" s="17">
        <v>4</v>
      </c>
      <c r="C223" s="15">
        <v>4.8703099999999999</v>
      </c>
      <c r="D223" s="22">
        <f t="shared" si="3"/>
        <v>2.1833166666666664</v>
      </c>
      <c r="E223" s="10">
        <v>7.1063400000000003</v>
      </c>
      <c r="F223" s="10">
        <v>14.005149999999999</v>
      </c>
      <c r="G223" s="10">
        <v>-14.561540000000001</v>
      </c>
      <c r="H223" s="7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ht="12.75" customHeight="1" x14ac:dyDescent="0.25">
      <c r="A224" s="1">
        <v>2008</v>
      </c>
      <c r="B224" s="17">
        <v>5</v>
      </c>
      <c r="C224" s="15">
        <v>1.2952600000000001</v>
      </c>
      <c r="D224" s="22">
        <f t="shared" si="3"/>
        <v>-0.37688666666666659</v>
      </c>
      <c r="E224" s="10">
        <v>-4.3348199999999997</v>
      </c>
      <c r="F224" s="10">
        <v>-2.0915199999999996</v>
      </c>
      <c r="G224" s="10">
        <v>5.2956799999999999</v>
      </c>
      <c r="H224" s="7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ht="12.75" customHeight="1" x14ac:dyDescent="0.25">
      <c r="A225" s="1">
        <v>2008</v>
      </c>
      <c r="B225" s="17">
        <v>6</v>
      </c>
      <c r="C225" s="15">
        <v>-8.4303600000000003</v>
      </c>
      <c r="D225" s="22">
        <f t="shared" si="3"/>
        <v>-14.035333333333334</v>
      </c>
      <c r="E225" s="10">
        <v>-5.0610200000000001</v>
      </c>
      <c r="F225" s="10">
        <v>-20.699250000000003</v>
      </c>
      <c r="G225" s="10">
        <v>-16.34573</v>
      </c>
      <c r="H225" s="7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ht="12.75" customHeight="1" x14ac:dyDescent="0.25">
      <c r="A226" s="1">
        <v>2008</v>
      </c>
      <c r="B226" s="17">
        <v>7</v>
      </c>
      <c r="C226" s="15">
        <v>-0.84062000000000003</v>
      </c>
      <c r="D226" s="22">
        <f t="shared" si="3"/>
        <v>8.937380000000001</v>
      </c>
      <c r="E226" s="10">
        <v>-1.9145700000000001</v>
      </c>
      <c r="F226" s="10">
        <v>-7.1146099999999999</v>
      </c>
      <c r="G226" s="10">
        <v>35.841320000000003</v>
      </c>
      <c r="H226" s="7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ht="12.75" customHeight="1" x14ac:dyDescent="0.25">
      <c r="A227" s="1">
        <v>2008</v>
      </c>
      <c r="B227" s="17">
        <v>8</v>
      </c>
      <c r="C227" s="15">
        <v>1.4464699999999999</v>
      </c>
      <c r="D227" s="22">
        <f t="shared" si="3"/>
        <v>7.1595866666666668</v>
      </c>
      <c r="E227" s="10">
        <v>-0.22658</v>
      </c>
      <c r="F227" s="10">
        <v>7.8365100000000005</v>
      </c>
      <c r="G227" s="10">
        <v>13.868829999999999</v>
      </c>
      <c r="H227" s="7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ht="12.75" customHeight="1" x14ac:dyDescent="0.25">
      <c r="A228" s="1">
        <v>2008</v>
      </c>
      <c r="B228" s="17">
        <v>9</v>
      </c>
      <c r="C228" s="15">
        <v>-8.9107299999999992</v>
      </c>
      <c r="D228" s="22">
        <f t="shared" si="3"/>
        <v>-9.0239733333333358</v>
      </c>
      <c r="E228" s="10">
        <v>-5.24857</v>
      </c>
      <c r="F228" s="10">
        <v>-12.622880000000002</v>
      </c>
      <c r="G228" s="10">
        <v>-9.200470000000001</v>
      </c>
      <c r="H228" s="7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ht="12.75" customHeight="1" x14ac:dyDescent="0.25">
      <c r="A229" s="1">
        <v>2008</v>
      </c>
      <c r="B229" s="17">
        <v>10</v>
      </c>
      <c r="C229" s="15">
        <v>-16.794789999999999</v>
      </c>
      <c r="D229" s="22">
        <f t="shared" si="3"/>
        <v>-15.838236666666669</v>
      </c>
      <c r="E229" s="10">
        <v>-11.982260000000002</v>
      </c>
      <c r="F229" s="10">
        <v>-8.6963400000000011</v>
      </c>
      <c r="G229" s="10">
        <v>-26.836110000000001</v>
      </c>
      <c r="H229" s="7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ht="12.75" customHeight="1" x14ac:dyDescent="0.25">
      <c r="A230" s="1">
        <v>2008</v>
      </c>
      <c r="B230" s="17">
        <v>11</v>
      </c>
      <c r="C230" s="15">
        <v>-7.1754600000000002</v>
      </c>
      <c r="D230" s="22">
        <f t="shared" si="3"/>
        <v>-13.761440000000002</v>
      </c>
      <c r="E230" s="10">
        <v>-2.9501399999999998</v>
      </c>
      <c r="F230" s="10">
        <v>-18.013010000000001</v>
      </c>
      <c r="G230" s="10">
        <v>-20.321170000000002</v>
      </c>
      <c r="H230" s="7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ht="12.75" customHeight="1" x14ac:dyDescent="0.25">
      <c r="A231" s="1">
        <v>2008</v>
      </c>
      <c r="B231" s="17">
        <v>12</v>
      </c>
      <c r="C231" s="15">
        <v>1.06403</v>
      </c>
      <c r="D231" s="22">
        <f t="shared" si="3"/>
        <v>9.1239866666666671</v>
      </c>
      <c r="E231" s="10">
        <v>6.2598600000000006</v>
      </c>
      <c r="F231" s="10">
        <v>-6.1700000000000088E-3</v>
      </c>
      <c r="G231" s="10">
        <v>21.118269999999999</v>
      </c>
      <c r="H231" s="7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ht="12.75" customHeight="1" x14ac:dyDescent="0.25">
      <c r="A232" s="1">
        <v>2009</v>
      </c>
      <c r="B232" s="17">
        <v>1</v>
      </c>
      <c r="C232" s="15">
        <v>-8.4286399999999997</v>
      </c>
      <c r="D232" s="22">
        <f t="shared" si="3"/>
        <v>-3.6543533333333329</v>
      </c>
      <c r="E232" s="10">
        <v>-5.8992800000000001</v>
      </c>
      <c r="F232" s="10">
        <v>-0.94368000000000007</v>
      </c>
      <c r="G232" s="10">
        <v>-4.1200999999999999</v>
      </c>
      <c r="H232" s="7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ht="12.75" customHeight="1" x14ac:dyDescent="0.25">
      <c r="A233" s="1">
        <v>2009</v>
      </c>
      <c r="B233" s="17">
        <v>2</v>
      </c>
      <c r="C233" s="15">
        <v>-10.647779999999999</v>
      </c>
      <c r="D233" s="22">
        <f t="shared" si="3"/>
        <v>-23.418513333333333</v>
      </c>
      <c r="E233" s="10">
        <v>-9.318500000000002</v>
      </c>
      <c r="F233" s="10">
        <v>-24.798650000000002</v>
      </c>
      <c r="G233" s="10">
        <v>-36.138389999999994</v>
      </c>
      <c r="H233" s="7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ht="12.75" customHeight="1" x14ac:dyDescent="0.25">
      <c r="A234" s="1">
        <v>2009</v>
      </c>
      <c r="B234" s="17">
        <v>3</v>
      </c>
      <c r="C234" s="15">
        <v>8.7595200000000002</v>
      </c>
      <c r="D234" s="22">
        <f t="shared" si="3"/>
        <v>6.6127333333333311</v>
      </c>
      <c r="E234" s="10">
        <v>-10.046520000000001</v>
      </c>
      <c r="F234" s="10">
        <v>13.067939999999998</v>
      </c>
      <c r="G234" s="10">
        <v>16.816779999999998</v>
      </c>
      <c r="H234" s="7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ht="12.75" customHeight="1" x14ac:dyDescent="0.25">
      <c r="A235" s="1">
        <v>2009</v>
      </c>
      <c r="B235" s="17">
        <v>4</v>
      </c>
      <c r="C235" s="15">
        <v>9.5709400000000002</v>
      </c>
      <c r="D235" s="22">
        <f t="shared" si="3"/>
        <v>26.997060000000001</v>
      </c>
      <c r="E235" s="10">
        <v>4.3338900000000002</v>
      </c>
      <c r="F235" s="10">
        <v>12.463239999999999</v>
      </c>
      <c r="G235" s="10">
        <v>64.194050000000004</v>
      </c>
      <c r="H235" s="7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ht="12.75" customHeight="1" x14ac:dyDescent="0.25">
      <c r="A236" s="1">
        <v>2009</v>
      </c>
      <c r="B236" s="17">
        <v>5</v>
      </c>
      <c r="C236" s="15">
        <v>5.5932899999999997</v>
      </c>
      <c r="D236" s="22">
        <f t="shared" si="3"/>
        <v>3.1969433333333321</v>
      </c>
      <c r="E236" s="10">
        <v>1.3025799999999998</v>
      </c>
      <c r="F236" s="10">
        <v>12.933709999999998</v>
      </c>
      <c r="G236" s="10">
        <v>-4.6454599999999999</v>
      </c>
      <c r="H236" s="7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ht="12.75" customHeight="1" x14ac:dyDescent="0.25">
      <c r="A237" s="1">
        <v>2009</v>
      </c>
      <c r="B237" s="17">
        <v>6</v>
      </c>
      <c r="C237" s="15">
        <v>0.19836000000000004</v>
      </c>
      <c r="D237" s="22">
        <f t="shared" si="3"/>
        <v>2.6701499999999996</v>
      </c>
      <c r="E237" s="10">
        <v>9.5810899999999979</v>
      </c>
      <c r="F237" s="10">
        <v>-5.33969</v>
      </c>
      <c r="G237" s="10">
        <v>3.7690500000000005</v>
      </c>
      <c r="H237" s="7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ht="12.75" customHeight="1" x14ac:dyDescent="0.25">
      <c r="A238" s="1">
        <v>2009</v>
      </c>
      <c r="B238" s="17">
        <v>7</v>
      </c>
      <c r="C238" s="15">
        <v>7.5637299999999987</v>
      </c>
      <c r="D238" s="22">
        <f t="shared" si="3"/>
        <v>6.3109899999999994</v>
      </c>
      <c r="E238" s="10">
        <v>7.0651100000000007</v>
      </c>
      <c r="F238" s="10">
        <v>0.86470999999999987</v>
      </c>
      <c r="G238" s="10">
        <v>11.003149999999998</v>
      </c>
      <c r="H238" s="7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ht="12.75" customHeight="1" x14ac:dyDescent="0.25">
      <c r="A239" s="1">
        <v>2009</v>
      </c>
      <c r="B239" s="17">
        <v>8</v>
      </c>
      <c r="C239" s="15">
        <v>3.61</v>
      </c>
      <c r="D239" s="22">
        <f t="shared" si="3"/>
        <v>5.6083500000000006</v>
      </c>
      <c r="E239" s="10">
        <v>2.7423800000000003</v>
      </c>
      <c r="F239" s="10">
        <v>16.6327</v>
      </c>
      <c r="G239" s="10">
        <v>-2.5500299999999996</v>
      </c>
      <c r="H239" s="7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ht="12.75" customHeight="1" x14ac:dyDescent="0.25">
      <c r="A240" s="1">
        <v>2009</v>
      </c>
      <c r="B240" s="17">
        <v>9</v>
      </c>
      <c r="C240" s="15">
        <v>3.73</v>
      </c>
      <c r="D240" s="22">
        <f t="shared" si="3"/>
        <v>5.6123699999999985</v>
      </c>
      <c r="E240" s="10">
        <v>-1.4999400000000001</v>
      </c>
      <c r="F240" s="10">
        <v>8.9195299999999982</v>
      </c>
      <c r="G240" s="10">
        <v>9.4175199999999979</v>
      </c>
      <c r="H240" s="7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ht="12.75" customHeight="1" x14ac:dyDescent="0.25">
      <c r="A241" s="1">
        <v>2009</v>
      </c>
      <c r="B241" s="17">
        <v>10</v>
      </c>
      <c r="C241" s="15">
        <v>-1.8599999999999999</v>
      </c>
      <c r="D241" s="22">
        <f t="shared" si="3"/>
        <v>-4.1933866666666662</v>
      </c>
      <c r="E241" s="10">
        <v>-2.5846699999999996</v>
      </c>
      <c r="F241" s="10">
        <v>-11.826690000000001</v>
      </c>
      <c r="G241" s="10">
        <v>1.8311999999999999</v>
      </c>
      <c r="H241" s="7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ht="12.75" customHeight="1" x14ac:dyDescent="0.25">
      <c r="A242" s="1">
        <v>2009</v>
      </c>
      <c r="B242" s="17">
        <v>11</v>
      </c>
      <c r="C242" s="15">
        <v>6</v>
      </c>
      <c r="D242" s="22">
        <f t="shared" si="3"/>
        <v>10.414153333333333</v>
      </c>
      <c r="E242" s="10">
        <v>7.7755800000000006</v>
      </c>
      <c r="F242" s="10">
        <v>10.423009999999998</v>
      </c>
      <c r="G242" s="10">
        <v>13.043869999999998</v>
      </c>
      <c r="H242" s="7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ht="12.75" customHeight="1" x14ac:dyDescent="0.25">
      <c r="A243" s="1">
        <v>2009</v>
      </c>
      <c r="B243" s="17">
        <v>12</v>
      </c>
      <c r="C243" s="15">
        <v>1.9300000000000002</v>
      </c>
      <c r="D243" s="22">
        <f t="shared" si="3"/>
        <v>4.8174300000000008</v>
      </c>
      <c r="E243" s="10">
        <v>7.9770399999999997</v>
      </c>
      <c r="F243" s="10">
        <v>3.1818200000000005</v>
      </c>
      <c r="G243" s="10">
        <v>3.2934300000000003</v>
      </c>
      <c r="H243" s="7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5" spans="1:27" s="19" customForma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92627-7BB2-4094-B349-3F51DB573570}">
  <sheetPr codeName="Sheet3"/>
  <dimension ref="A1:Z245"/>
  <sheetViews>
    <sheetView showGridLines="0" workbookViewId="0">
      <pane ySplit="5" topLeftCell="A6" activePane="bottomLeft" state="frozen"/>
      <selection pane="bottomLeft" sqref="A1:A4"/>
    </sheetView>
  </sheetViews>
  <sheetFormatPr defaultRowHeight="13.2" x14ac:dyDescent="0.25"/>
  <cols>
    <col min="1" max="1" width="17.5546875" customWidth="1"/>
    <col min="2" max="2" width="13.33203125" customWidth="1"/>
    <col min="3" max="3" width="21" style="19" customWidth="1"/>
    <col min="7" max="7" width="16.77734375" customWidth="1"/>
  </cols>
  <sheetData>
    <row r="1" spans="1:26" x14ac:dyDescent="0.25">
      <c r="A1" s="40" t="s">
        <v>28</v>
      </c>
      <c r="B1" s="39">
        <f>CORREL(C6:C245,'Step1 '!D4:D243)</f>
        <v>0.61280069909128698</v>
      </c>
    </row>
    <row r="2" spans="1:26" x14ac:dyDescent="0.25">
      <c r="A2" s="40" t="s">
        <v>25</v>
      </c>
      <c r="B2" s="39">
        <f>CORREL(D6:D245,E6:E245)</f>
        <v>0.30380450826180033</v>
      </c>
    </row>
    <row r="3" spans="1:26" x14ac:dyDescent="0.25">
      <c r="A3" s="40" t="s">
        <v>26</v>
      </c>
      <c r="B3" s="39">
        <f>CORREL(D6:D245,F6:F245)</f>
        <v>8.0116543076287114E-2</v>
      </c>
    </row>
    <row r="4" spans="1:26" x14ac:dyDescent="0.25">
      <c r="A4" s="40" t="s">
        <v>27</v>
      </c>
      <c r="B4" s="39">
        <f>CORREL(E6:E245,F6:F245)</f>
        <v>0.22881452468877256</v>
      </c>
      <c r="C4" s="14"/>
      <c r="D4" s="39"/>
    </row>
    <row r="5" spans="1:26" ht="12.75" customHeight="1" x14ac:dyDescent="0.25">
      <c r="A5" s="27" t="s">
        <v>17</v>
      </c>
      <c r="B5" s="27" t="s">
        <v>18</v>
      </c>
      <c r="C5" s="27" t="s">
        <v>6</v>
      </c>
      <c r="D5" s="28" t="s">
        <v>8</v>
      </c>
      <c r="E5" s="28" t="s">
        <v>11</v>
      </c>
      <c r="F5" s="28" t="s">
        <v>14</v>
      </c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2.75" customHeight="1" x14ac:dyDescent="0.25">
      <c r="A6" s="1">
        <v>1990</v>
      </c>
      <c r="B6" s="1">
        <v>1</v>
      </c>
      <c r="C6" s="15">
        <v>-6.713599308398055</v>
      </c>
      <c r="D6" s="10">
        <v>-6.53939</v>
      </c>
      <c r="E6" s="10">
        <v>-0.31052999999999997</v>
      </c>
      <c r="F6" s="10">
        <v>-9.6846200000000007</v>
      </c>
      <c r="G6" s="16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2.75" customHeight="1" x14ac:dyDescent="0.25">
      <c r="A7" s="1">
        <v>1990</v>
      </c>
      <c r="B7" s="1">
        <v>2</v>
      </c>
      <c r="C7" s="15">
        <v>1.2880823423377485</v>
      </c>
      <c r="D7" s="10">
        <v>0.62873999999999997</v>
      </c>
      <c r="E7" s="10">
        <v>8.2123199999999983</v>
      </c>
      <c r="F7" s="10">
        <v>-9.993940000000002</v>
      </c>
      <c r="G7" s="16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2.75" customHeight="1" x14ac:dyDescent="0.25">
      <c r="A8" s="1">
        <v>1990</v>
      </c>
      <c r="B8" s="1">
        <v>3</v>
      </c>
      <c r="C8" s="15">
        <v>2.6496808890475787</v>
      </c>
      <c r="D8" s="10">
        <v>-0.50983999999999996</v>
      </c>
      <c r="E8" s="10">
        <v>12.229079999999998</v>
      </c>
      <c r="F8" s="10">
        <v>3.8993500000000005</v>
      </c>
      <c r="G8" s="16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2.75" customHeight="1" x14ac:dyDescent="0.25">
      <c r="A9" s="1">
        <v>1990</v>
      </c>
      <c r="B9" s="1">
        <v>4</v>
      </c>
      <c r="C9" s="15">
        <v>-2.4945991114009747</v>
      </c>
      <c r="D9" s="10">
        <v>-4.21523</v>
      </c>
      <c r="E9" s="10">
        <v>-2.8874499999999999</v>
      </c>
      <c r="F9" s="10">
        <v>-5.7812099999999997</v>
      </c>
      <c r="G9" s="16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2.75" customHeight="1" x14ac:dyDescent="0.25">
      <c r="A10" s="1">
        <v>1990</v>
      </c>
      <c r="B10" s="1">
        <v>5</v>
      </c>
      <c r="C10" s="15">
        <v>9.7504284937920627</v>
      </c>
      <c r="D10" s="10">
        <v>1.5308999999999999</v>
      </c>
      <c r="E10" s="10">
        <v>18.537979999999997</v>
      </c>
      <c r="F10" s="10">
        <v>18.37378</v>
      </c>
      <c r="G10" s="16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2.75" customHeight="1" x14ac:dyDescent="0.25">
      <c r="A11" s="1">
        <v>1990</v>
      </c>
      <c r="B11" s="1">
        <v>6</v>
      </c>
      <c r="C11" s="15">
        <v>-0.67470626026850944</v>
      </c>
      <c r="D11" s="10">
        <v>2.4862100000000003</v>
      </c>
      <c r="E11" s="10">
        <v>6.3752000000000004</v>
      </c>
      <c r="F11" s="10">
        <v>-3.4225599999999998</v>
      </c>
      <c r="G11" s="16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ht="12.75" customHeight="1" x14ac:dyDescent="0.25">
      <c r="A12" s="1">
        <v>1990</v>
      </c>
      <c r="B12" s="1">
        <v>7</v>
      </c>
      <c r="C12" s="15">
        <v>-0.32059804061931318</v>
      </c>
      <c r="D12" s="10">
        <v>0.32017000000000001</v>
      </c>
      <c r="E12" s="10">
        <v>-1.38205</v>
      </c>
      <c r="F12" s="10">
        <v>3.4211300000000002</v>
      </c>
      <c r="G12" s="16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ht="12.75" customHeight="1" x14ac:dyDescent="0.25">
      <c r="A13" s="1">
        <v>1990</v>
      </c>
      <c r="B13" s="1">
        <v>8</v>
      </c>
      <c r="C13" s="15">
        <v>-9.0389597065838938</v>
      </c>
      <c r="D13" s="10">
        <v>-9.3887000000000018</v>
      </c>
      <c r="E13" s="10">
        <v>-16.117320000000003</v>
      </c>
      <c r="F13" s="10">
        <v>-26.630610000000001</v>
      </c>
      <c r="G13" s="16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ht="12.75" customHeight="1" x14ac:dyDescent="0.25">
      <c r="A14" s="1">
        <v>1990</v>
      </c>
      <c r="B14" s="1">
        <v>9</v>
      </c>
      <c r="C14" s="15">
        <v>-4.8667975006203452</v>
      </c>
      <c r="D14" s="10">
        <v>-0.1</v>
      </c>
      <c r="E14" s="10">
        <v>-13.830570000000002</v>
      </c>
      <c r="F14" s="10">
        <v>-12.043700000000001</v>
      </c>
      <c r="G14" s="16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ht="12.75" customHeight="1" x14ac:dyDescent="0.25">
      <c r="A15" s="1">
        <v>1990</v>
      </c>
      <c r="B15" s="1">
        <v>10</v>
      </c>
      <c r="C15" s="15">
        <v>-0.4256227251710154</v>
      </c>
      <c r="D15" s="10">
        <v>5.5603800000000003</v>
      </c>
      <c r="E15" s="10">
        <v>7.4075100000000003</v>
      </c>
      <c r="F15" s="10">
        <v>0.95818999999999988</v>
      </c>
      <c r="G15" s="16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ht="12.75" customHeight="1" x14ac:dyDescent="0.25">
      <c r="A16" s="1">
        <v>1990</v>
      </c>
      <c r="B16" s="1">
        <v>11</v>
      </c>
      <c r="C16" s="15">
        <v>6.4640186693337265</v>
      </c>
      <c r="D16" s="10">
        <v>2.9357100000000003</v>
      </c>
      <c r="E16" s="10">
        <v>-0.65866000000000013</v>
      </c>
      <c r="F16" s="10">
        <v>18.748009999999997</v>
      </c>
      <c r="G16" s="16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2.75" customHeight="1" x14ac:dyDescent="0.25">
      <c r="A17" s="1">
        <v>1990</v>
      </c>
      <c r="B17" s="1">
        <v>12</v>
      </c>
      <c r="C17" s="15">
        <v>2.7855441359025512</v>
      </c>
      <c r="D17" s="10">
        <v>-0.98496000000000006</v>
      </c>
      <c r="E17" s="10">
        <v>2.4423700000000004</v>
      </c>
      <c r="F17" s="10">
        <v>3.5116000000000005</v>
      </c>
      <c r="G17" s="16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2.75" customHeight="1" x14ac:dyDescent="0.25">
      <c r="A18" s="1">
        <v>1991</v>
      </c>
      <c r="B18" s="1">
        <v>1</v>
      </c>
      <c r="C18" s="15">
        <v>4.35518223436</v>
      </c>
      <c r="D18" s="10">
        <v>-1.88571</v>
      </c>
      <c r="E18" s="10">
        <v>8.7154299999999978</v>
      </c>
      <c r="F18" s="10">
        <v>5.0282100000000005</v>
      </c>
      <c r="G18" s="16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2.75" customHeight="1" x14ac:dyDescent="0.25">
      <c r="A19" s="1">
        <v>1991</v>
      </c>
      <c r="B19" s="1">
        <v>2</v>
      </c>
      <c r="C19" s="15">
        <v>7.1514589122150252</v>
      </c>
      <c r="D19" s="10">
        <v>5.7181800000000003</v>
      </c>
      <c r="E19" s="10">
        <v>-1.87215</v>
      </c>
      <c r="F19" s="10">
        <v>0.30715000000000003</v>
      </c>
      <c r="G19" s="16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2.75" customHeight="1" x14ac:dyDescent="0.25">
      <c r="A20" s="1">
        <v>1991</v>
      </c>
      <c r="B20" s="1">
        <v>3</v>
      </c>
      <c r="C20" s="15">
        <v>2.421438267190168</v>
      </c>
      <c r="D20" s="10">
        <v>2.0929800000000003</v>
      </c>
      <c r="E20" s="10">
        <v>-2.6906699999999995</v>
      </c>
      <c r="F20" s="10">
        <v>5.2441000000000004</v>
      </c>
      <c r="G20" s="16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2.75" customHeight="1" x14ac:dyDescent="0.25">
      <c r="A21" s="1">
        <v>1991</v>
      </c>
      <c r="B21" s="1">
        <v>4</v>
      </c>
      <c r="C21" s="15">
        <v>0.23679910315606012</v>
      </c>
      <c r="D21" s="10">
        <v>1.6167399999999998</v>
      </c>
      <c r="E21" s="10">
        <v>-2.7595799999999997</v>
      </c>
      <c r="F21" s="10">
        <v>4.1464600000000003</v>
      </c>
      <c r="G21" s="16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2.75" customHeight="1" x14ac:dyDescent="0.25">
      <c r="A22" s="1">
        <v>1991</v>
      </c>
      <c r="B22" s="1">
        <v>5</v>
      </c>
      <c r="C22" s="15">
        <v>4.313921555153799</v>
      </c>
      <c r="D22" s="10">
        <v>-1.02827</v>
      </c>
      <c r="E22" s="10">
        <v>7.27705</v>
      </c>
      <c r="F22" s="10">
        <v>-0.46977999999999998</v>
      </c>
      <c r="G22" s="16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2.75" customHeight="1" x14ac:dyDescent="0.25">
      <c r="A23" s="1">
        <v>1991</v>
      </c>
      <c r="B23" s="1">
        <v>6</v>
      </c>
      <c r="C23" s="15">
        <v>-4.581189591922497</v>
      </c>
      <c r="D23" s="10">
        <v>-1.40435</v>
      </c>
      <c r="E23" s="10">
        <v>-6.4938599999999997</v>
      </c>
      <c r="F23" s="10">
        <v>-20.100470000000001</v>
      </c>
      <c r="G23" s="16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2.75" customHeight="1" x14ac:dyDescent="0.25">
      <c r="A24" s="1">
        <v>1991</v>
      </c>
      <c r="B24" s="1">
        <v>7</v>
      </c>
      <c r="C24" s="15">
        <v>4.6609231384517225</v>
      </c>
      <c r="D24" s="10">
        <v>4.3052900000000003</v>
      </c>
      <c r="E24" s="10">
        <v>1.2661199999999999</v>
      </c>
      <c r="F24" s="10">
        <v>0.36804000000000003</v>
      </c>
      <c r="G24" s="16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2.75" customHeight="1" x14ac:dyDescent="0.25">
      <c r="A25" s="1">
        <v>1991</v>
      </c>
      <c r="B25" s="1">
        <v>8</v>
      </c>
      <c r="C25" s="15">
        <v>2.3691788393389146</v>
      </c>
      <c r="D25" s="10">
        <v>3.6130800000000005</v>
      </c>
      <c r="E25" s="10">
        <v>7.71671</v>
      </c>
      <c r="F25" s="10">
        <v>6.8759500000000005</v>
      </c>
      <c r="G25" s="16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2.75" customHeight="1" x14ac:dyDescent="0.25">
      <c r="A26" s="1">
        <v>1991</v>
      </c>
      <c r="B26" s="1">
        <v>9</v>
      </c>
      <c r="C26" s="15">
        <v>-1.6735472001635388</v>
      </c>
      <c r="D26" s="10">
        <v>1.55975</v>
      </c>
      <c r="E26" s="10">
        <v>1.91005</v>
      </c>
      <c r="F26" s="10">
        <v>-0.88191000000000008</v>
      </c>
      <c r="G26" s="16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2.75" customHeight="1" x14ac:dyDescent="0.25">
      <c r="A27" s="1">
        <v>1991</v>
      </c>
      <c r="B27" s="1">
        <v>10</v>
      </c>
      <c r="C27" s="15">
        <v>1.3445416129979959</v>
      </c>
      <c r="D27" s="10">
        <v>2.7571400000000001</v>
      </c>
      <c r="E27" s="10">
        <v>-3.0556699999999997</v>
      </c>
      <c r="F27" s="10">
        <v>-0.54122999999999999</v>
      </c>
      <c r="G27" s="16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2.75" customHeight="1" x14ac:dyDescent="0.25">
      <c r="A28" s="1">
        <v>1991</v>
      </c>
      <c r="B28" s="1">
        <v>11</v>
      </c>
      <c r="C28" s="15">
        <v>-4.0293881555476307</v>
      </c>
      <c r="D28" s="10">
        <v>2.2015900000000004</v>
      </c>
      <c r="E28" s="10">
        <v>-9.7446700000000011</v>
      </c>
      <c r="F28" s="10">
        <v>-7.1796499999999996</v>
      </c>
      <c r="G28" s="16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2.75" customHeight="1" x14ac:dyDescent="0.25">
      <c r="A29" s="1">
        <v>1991</v>
      </c>
      <c r="B29" s="1">
        <v>12</v>
      </c>
      <c r="C29" s="15">
        <v>11.436563826499913</v>
      </c>
      <c r="D29" s="10">
        <v>8.2003999999999984</v>
      </c>
      <c r="E29" s="10">
        <v>7.8096100000000002</v>
      </c>
      <c r="F29" s="10">
        <v>10.472189999999999</v>
      </c>
      <c r="G29" s="16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2.75" customHeight="1" x14ac:dyDescent="0.25">
      <c r="A30" s="1">
        <v>1992</v>
      </c>
      <c r="B30" s="1">
        <v>1</v>
      </c>
      <c r="C30" s="15">
        <v>-1.8635081405991683</v>
      </c>
      <c r="D30" s="10">
        <v>-5.5744499999999997</v>
      </c>
      <c r="E30" s="10">
        <v>6.4445000000000006</v>
      </c>
      <c r="F30" s="10">
        <v>-15.684310000000002</v>
      </c>
      <c r="G30" s="16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2.75" customHeight="1" x14ac:dyDescent="0.25">
      <c r="A31" s="1">
        <v>1992</v>
      </c>
      <c r="B31" s="1">
        <v>2</v>
      </c>
      <c r="C31" s="15">
        <v>1.2951061727870528</v>
      </c>
      <c r="D31" s="10">
        <v>-2.8799199999999998</v>
      </c>
      <c r="E31" s="10">
        <v>-9.1909100000000006</v>
      </c>
      <c r="F31" s="10">
        <v>25.54082</v>
      </c>
      <c r="G31" s="16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2.75" customHeight="1" x14ac:dyDescent="0.25">
      <c r="A32" s="1">
        <v>1992</v>
      </c>
      <c r="B32" s="1">
        <v>3</v>
      </c>
      <c r="C32" s="15">
        <v>-1.9448773152177856</v>
      </c>
      <c r="D32" s="10">
        <v>-0.50485999999999998</v>
      </c>
      <c r="E32" s="10">
        <v>-4.71957</v>
      </c>
      <c r="F32" s="10">
        <v>-2.4679899999999995</v>
      </c>
      <c r="G32" s="16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2.75" customHeight="1" x14ac:dyDescent="0.25">
      <c r="A33" s="1">
        <v>1992</v>
      </c>
      <c r="B33" s="1">
        <v>4</v>
      </c>
      <c r="C33" s="15">
        <v>2.9352880530803205</v>
      </c>
      <c r="D33" s="10">
        <v>3.9650400000000001</v>
      </c>
      <c r="E33" s="10">
        <v>0.18490000000000001</v>
      </c>
      <c r="F33" s="10">
        <v>-5.9823499999999994</v>
      </c>
      <c r="G33" s="16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2.75" customHeight="1" x14ac:dyDescent="0.25">
      <c r="A34" s="1">
        <v>1992</v>
      </c>
      <c r="B34" s="1">
        <v>5</v>
      </c>
      <c r="C34" s="15">
        <v>0.49019098538987116</v>
      </c>
      <c r="D34" s="10">
        <v>0.60312999999999994</v>
      </c>
      <c r="E34" s="10">
        <v>0.18409000000000003</v>
      </c>
      <c r="F34" s="10">
        <v>-1.88571</v>
      </c>
      <c r="G34" s="16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ht="12.75" customHeight="1" x14ac:dyDescent="0.25">
      <c r="A35" s="1">
        <v>1992</v>
      </c>
      <c r="B35" s="1">
        <v>6</v>
      </c>
      <c r="C35" s="15">
        <v>-1.4869727047146508</v>
      </c>
      <c r="D35" s="10">
        <v>0.69050999999999996</v>
      </c>
      <c r="E35" s="10">
        <v>-9.2168100000000006</v>
      </c>
      <c r="F35" s="10">
        <v>-10.463640000000002</v>
      </c>
      <c r="G35" s="16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ht="12.75" customHeight="1" x14ac:dyDescent="0.25">
      <c r="A36" s="1">
        <v>1992</v>
      </c>
      <c r="B36" s="1">
        <v>7</v>
      </c>
      <c r="C36" s="15">
        <v>4.085355230484744</v>
      </c>
      <c r="D36" s="10">
        <v>8.9196099999999987</v>
      </c>
      <c r="E36" s="10">
        <v>0.21348</v>
      </c>
      <c r="F36" s="10">
        <v>0.92040999999999995</v>
      </c>
      <c r="G36" s="16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ht="12.75" customHeight="1" x14ac:dyDescent="0.25">
      <c r="A37" s="1">
        <v>1992</v>
      </c>
      <c r="B37" s="1">
        <v>8</v>
      </c>
      <c r="C37" s="15">
        <v>-2.0466975348477079</v>
      </c>
      <c r="D37" s="10">
        <v>-4.8481999999999994</v>
      </c>
      <c r="E37" s="10">
        <v>-6.35</v>
      </c>
      <c r="F37" s="10">
        <v>-5.1505099999999997</v>
      </c>
      <c r="G37" s="16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ht="12.75" customHeight="1" x14ac:dyDescent="0.25">
      <c r="A38" s="1">
        <v>1992</v>
      </c>
      <c r="B38" s="1">
        <v>9</v>
      </c>
      <c r="C38" s="15">
        <v>1.1751553869180587</v>
      </c>
      <c r="D38" s="10">
        <v>1.4384599999999998</v>
      </c>
      <c r="E38" s="10">
        <v>-1.44228</v>
      </c>
      <c r="F38" s="10">
        <v>15.964679999999998</v>
      </c>
      <c r="G38" s="16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ht="12.75" customHeight="1" x14ac:dyDescent="0.25">
      <c r="A39" s="1">
        <v>1992</v>
      </c>
      <c r="B39" s="1">
        <v>10</v>
      </c>
      <c r="C39" s="15">
        <v>0.34552154829468051</v>
      </c>
      <c r="D39" s="10">
        <v>-1.6151500000000001</v>
      </c>
      <c r="E39" s="10">
        <v>-2.1408199999999997</v>
      </c>
      <c r="F39" s="10">
        <v>-2.4048699999999998</v>
      </c>
      <c r="G39" s="16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ht="12.75" customHeight="1" x14ac:dyDescent="0.25">
      <c r="A40" s="1">
        <v>1992</v>
      </c>
      <c r="B40" s="1">
        <v>11</v>
      </c>
      <c r="C40" s="15">
        <v>3.4049913917048036</v>
      </c>
      <c r="D40" s="10">
        <v>-2.4846199999999996</v>
      </c>
      <c r="E40" s="10">
        <v>-1.8361100000000001</v>
      </c>
      <c r="F40" s="10">
        <v>13.107549999999998</v>
      </c>
      <c r="G40" s="16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ht="12.75" customHeight="1" x14ac:dyDescent="0.25">
      <c r="A41" s="1">
        <v>1992</v>
      </c>
      <c r="B41" s="1">
        <v>12</v>
      </c>
      <c r="C41" s="15">
        <v>1.2272513335425117</v>
      </c>
      <c r="D41" s="10">
        <v>6.3257000000000003</v>
      </c>
      <c r="E41" s="10">
        <v>14.134879999999999</v>
      </c>
      <c r="F41" s="10">
        <v>-0.43332999999999999</v>
      </c>
      <c r="G41" s="16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ht="12.75" customHeight="1" x14ac:dyDescent="0.25">
      <c r="A42" s="1">
        <v>1993</v>
      </c>
      <c r="B42" s="1">
        <v>1</v>
      </c>
      <c r="C42" s="15">
        <v>0.83614567067951118</v>
      </c>
      <c r="D42" s="10">
        <v>2.1641500000000002</v>
      </c>
      <c r="E42" s="10">
        <v>-12.249530000000002</v>
      </c>
      <c r="F42" s="10">
        <v>-11.443870000000002</v>
      </c>
      <c r="G42" s="16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ht="12.75" customHeight="1" x14ac:dyDescent="0.25">
      <c r="A43" s="1">
        <v>1993</v>
      </c>
      <c r="B43" s="1">
        <v>2</v>
      </c>
      <c r="C43" s="15">
        <v>1.3627438548763138</v>
      </c>
      <c r="D43" s="10">
        <v>6.8372700000000002</v>
      </c>
      <c r="E43" s="10">
        <v>-1.8730500000000001</v>
      </c>
      <c r="F43" s="10">
        <v>-4.8392999999999997</v>
      </c>
      <c r="G43" s="16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ht="12.75" customHeight="1" x14ac:dyDescent="0.25">
      <c r="A44" s="1">
        <v>1993</v>
      </c>
      <c r="B44" s="1">
        <v>3</v>
      </c>
      <c r="C44" s="15">
        <v>2.109983756233591</v>
      </c>
      <c r="D44" s="10">
        <v>3.4087700000000005</v>
      </c>
      <c r="E44" s="10">
        <v>1.7181799999999998</v>
      </c>
      <c r="F44" s="10">
        <v>18.407309999999999</v>
      </c>
      <c r="G44" s="16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ht="12.75" customHeight="1" x14ac:dyDescent="0.25">
      <c r="A45" s="1">
        <v>1993</v>
      </c>
      <c r="B45" s="1">
        <v>4</v>
      </c>
      <c r="C45" s="15">
        <v>-2.417030028642031</v>
      </c>
      <c r="D45" s="10">
        <v>0.57796999999999987</v>
      </c>
      <c r="E45" s="10">
        <v>8.471429999999998</v>
      </c>
      <c r="F45" s="10">
        <v>-0.1</v>
      </c>
      <c r="G45" s="16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ht="12.75" customHeight="1" x14ac:dyDescent="0.25">
      <c r="A46" s="1">
        <v>1993</v>
      </c>
      <c r="B46" s="1">
        <v>5</v>
      </c>
      <c r="C46" s="15">
        <v>2.6751100441698483</v>
      </c>
      <c r="D46" s="10">
        <v>-5.5545499999999999</v>
      </c>
      <c r="E46" s="10">
        <v>4.8342100000000006</v>
      </c>
      <c r="F46" s="10">
        <v>4.1193800000000005</v>
      </c>
      <c r="G46" s="16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2.75" customHeight="1" x14ac:dyDescent="0.25">
      <c r="A47" s="1">
        <v>1993</v>
      </c>
      <c r="B47" s="1">
        <v>6</v>
      </c>
      <c r="C47" s="15">
        <v>0.29272214924753737</v>
      </c>
      <c r="D47" s="10">
        <v>9.3202899999999982</v>
      </c>
      <c r="E47" s="10">
        <v>-6.7246099999999993</v>
      </c>
      <c r="F47" s="10">
        <v>-2.4488099999999995</v>
      </c>
      <c r="G47" s="16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2.75" customHeight="1" x14ac:dyDescent="0.25">
      <c r="A48" s="1">
        <v>1993</v>
      </c>
      <c r="B48" s="1">
        <v>7</v>
      </c>
      <c r="C48" s="15">
        <v>-0.40214947694706682</v>
      </c>
      <c r="D48" s="10">
        <v>1.5556299999999998</v>
      </c>
      <c r="E48" s="10">
        <v>6.3189200000000003</v>
      </c>
      <c r="F48" s="10">
        <v>-4.6826699999999999</v>
      </c>
      <c r="G48" s="16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2.75" customHeight="1" x14ac:dyDescent="0.25">
      <c r="A49" s="1">
        <v>1993</v>
      </c>
      <c r="B49" s="1">
        <v>8</v>
      </c>
      <c r="C49" s="15">
        <v>3.7942073283824485</v>
      </c>
      <c r="D49" s="10">
        <v>2.4407200000000002</v>
      </c>
      <c r="E49" s="10">
        <v>1.16984</v>
      </c>
      <c r="F49" s="10">
        <v>5.5761200000000004</v>
      </c>
      <c r="G49" s="16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2.75" customHeight="1" x14ac:dyDescent="0.25">
      <c r="A50" s="1">
        <v>1993</v>
      </c>
      <c r="B50" s="1">
        <v>9</v>
      </c>
      <c r="C50" s="15">
        <v>-0.76676893826356229</v>
      </c>
      <c r="D50" s="10">
        <v>-0.74516000000000004</v>
      </c>
      <c r="E50" s="10">
        <v>-3.2545699999999997</v>
      </c>
      <c r="F50" s="10">
        <v>22.70992</v>
      </c>
      <c r="G50" s="16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2.75" customHeight="1" x14ac:dyDescent="0.25">
      <c r="A51" s="1">
        <v>1993</v>
      </c>
      <c r="B51" s="1">
        <v>10</v>
      </c>
      <c r="C51" s="15">
        <v>2.06849981092323</v>
      </c>
      <c r="D51" s="10">
        <v>-0.1</v>
      </c>
      <c r="E51" s="10">
        <v>-2.3801299999999999</v>
      </c>
      <c r="F51" s="10">
        <v>10.373509999999998</v>
      </c>
      <c r="G51" s="16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2.75" customHeight="1" x14ac:dyDescent="0.25">
      <c r="A52" s="1">
        <v>1993</v>
      </c>
      <c r="B52" s="1">
        <v>11</v>
      </c>
      <c r="C52" s="15">
        <v>-0.95321770518527194</v>
      </c>
      <c r="D52" s="10">
        <v>-4.7103899999999994</v>
      </c>
      <c r="E52" s="10">
        <v>3.5666700000000002</v>
      </c>
      <c r="F52" s="10">
        <v>11.520739999999998</v>
      </c>
      <c r="G52" s="16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2.75" customHeight="1" x14ac:dyDescent="0.25">
      <c r="A53" s="1">
        <v>1993</v>
      </c>
      <c r="B53" s="1">
        <v>12</v>
      </c>
      <c r="C53" s="15">
        <v>1.2090899051323989</v>
      </c>
      <c r="D53" s="10">
        <v>2.6681700000000004</v>
      </c>
      <c r="E53" s="10">
        <v>11.874109999999998</v>
      </c>
      <c r="F53" s="10">
        <v>8.7214399999999994</v>
      </c>
      <c r="G53" s="16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2.75" customHeight="1" x14ac:dyDescent="0.25">
      <c r="A54" s="1">
        <v>1994</v>
      </c>
      <c r="B54" s="1">
        <v>1</v>
      </c>
      <c r="C54" s="15">
        <v>3.3996712436774157</v>
      </c>
      <c r="D54" s="10">
        <v>-2.7935999999999996</v>
      </c>
      <c r="E54" s="10">
        <v>-0.1</v>
      </c>
      <c r="F54" s="10">
        <v>-3.6353499999999999</v>
      </c>
      <c r="G54" s="16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2.75" customHeight="1" x14ac:dyDescent="0.25">
      <c r="A55" s="1">
        <v>1994</v>
      </c>
      <c r="B55" s="1">
        <v>2</v>
      </c>
      <c r="C55" s="15">
        <v>-2.7141249900003328</v>
      </c>
      <c r="D55" s="10">
        <v>-6.7435999999999998</v>
      </c>
      <c r="E55" s="10">
        <v>8.5705199999999984</v>
      </c>
      <c r="F55" s="10">
        <v>-13.189010000000001</v>
      </c>
      <c r="G55" s="16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2.75" customHeight="1" x14ac:dyDescent="0.25">
      <c r="A56" s="1">
        <v>1994</v>
      </c>
      <c r="B56" s="1">
        <v>3</v>
      </c>
      <c r="C56" s="15">
        <v>-4.3597230799915287</v>
      </c>
      <c r="D56" s="10">
        <v>-7.2698099999999997</v>
      </c>
      <c r="E56" s="10">
        <v>-4.9128299999999996</v>
      </c>
      <c r="F56" s="10">
        <v>-12.389160000000002</v>
      </c>
      <c r="G56" s="16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2.75" customHeight="1" x14ac:dyDescent="0.25">
      <c r="A57" s="1">
        <v>1994</v>
      </c>
      <c r="B57" s="1">
        <v>4</v>
      </c>
      <c r="C57" s="15">
        <v>1.2823467860840765</v>
      </c>
      <c r="D57" s="10">
        <v>5.5910600000000006</v>
      </c>
      <c r="E57" s="10">
        <v>1.0235999999999998</v>
      </c>
      <c r="F57" s="10">
        <v>-8.7201400000000007</v>
      </c>
      <c r="G57" s="16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2.75" customHeight="1" x14ac:dyDescent="0.25">
      <c r="A58" s="1">
        <v>1994</v>
      </c>
      <c r="B58" s="1">
        <v>5</v>
      </c>
      <c r="C58" s="15">
        <v>1.6410675066466318</v>
      </c>
      <c r="D58" s="10">
        <v>-9.4076900000000006</v>
      </c>
      <c r="E58" s="10">
        <v>3.5111100000000004</v>
      </c>
      <c r="F58" s="10">
        <v>12.730109999999998</v>
      </c>
      <c r="G58" s="16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2.75" customHeight="1" x14ac:dyDescent="0.25">
      <c r="A59" s="1">
        <v>1994</v>
      </c>
      <c r="B59" s="1">
        <v>6</v>
      </c>
      <c r="C59" s="15">
        <v>-2.4511772545535271</v>
      </c>
      <c r="D59" s="10">
        <v>-2.2644999999999995</v>
      </c>
      <c r="E59" s="10">
        <v>-0.36953999999999998</v>
      </c>
      <c r="F59" s="10">
        <v>-7.39147</v>
      </c>
      <c r="G59" s="16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2.75" customHeight="1" x14ac:dyDescent="0.25">
      <c r="A60" s="1">
        <v>1994</v>
      </c>
      <c r="B60" s="1">
        <v>7</v>
      </c>
      <c r="C60" s="15">
        <v>3.2836875815183575</v>
      </c>
      <c r="D60" s="10">
        <v>7.8646000000000003</v>
      </c>
      <c r="E60" s="10">
        <v>-3.6135099999999998</v>
      </c>
      <c r="F60" s="10">
        <v>8.2339099999999981</v>
      </c>
      <c r="G60" s="16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2.75" customHeight="1" x14ac:dyDescent="0.25">
      <c r="A61" s="1">
        <v>1994</v>
      </c>
      <c r="B61" s="1">
        <v>8</v>
      </c>
      <c r="C61" s="15">
        <v>4.0999537904201411</v>
      </c>
      <c r="D61" s="10">
        <v>5.1459000000000001</v>
      </c>
      <c r="E61" s="10">
        <v>2.4210100000000003</v>
      </c>
      <c r="F61" s="10">
        <v>7.5917300000000001</v>
      </c>
      <c r="G61" s="16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2.75" customHeight="1" x14ac:dyDescent="0.25">
      <c r="A62" s="1">
        <v>1994</v>
      </c>
      <c r="B62" s="1">
        <v>9</v>
      </c>
      <c r="C62" s="15">
        <v>-2.4453262129211062</v>
      </c>
      <c r="D62" s="10">
        <v>-0.49682999999999999</v>
      </c>
      <c r="E62" s="10">
        <v>-5.0450599999999994</v>
      </c>
      <c r="F62" s="10">
        <v>7.1049700000000007</v>
      </c>
      <c r="G62" s="16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2.75" customHeight="1" x14ac:dyDescent="0.25">
      <c r="A63" s="1">
        <v>1994</v>
      </c>
      <c r="B63" s="1">
        <v>10</v>
      </c>
      <c r="C63" s="15">
        <v>2.2466329162288634</v>
      </c>
      <c r="D63" s="10">
        <v>1.8920299999999999</v>
      </c>
      <c r="E63" s="10">
        <v>1.3473999999999999</v>
      </c>
      <c r="F63" s="10">
        <v>2.8116300000000005</v>
      </c>
      <c r="G63" s="16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2.75" customHeight="1" x14ac:dyDescent="0.25">
      <c r="A64" s="1">
        <v>1994</v>
      </c>
      <c r="B64" s="1">
        <v>11</v>
      </c>
      <c r="C64" s="15">
        <v>-3.6419009700525473</v>
      </c>
      <c r="D64" s="10">
        <v>4.9000000000000004</v>
      </c>
      <c r="E64" s="10">
        <v>2.7489400000000002</v>
      </c>
      <c r="F64" s="10">
        <v>3.5698900000000005</v>
      </c>
      <c r="G64" s="16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2.75" customHeight="1" x14ac:dyDescent="0.25">
      <c r="A65" s="1">
        <v>1994</v>
      </c>
      <c r="B65" s="1">
        <v>12</v>
      </c>
      <c r="C65" s="15">
        <v>1.4833682948756532</v>
      </c>
      <c r="D65" s="10">
        <v>-0.47878999999999999</v>
      </c>
      <c r="E65" s="10">
        <v>4.6330400000000003</v>
      </c>
      <c r="F65" s="10">
        <v>9.2818099999999983</v>
      </c>
      <c r="G65" s="16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2.75" customHeight="1" x14ac:dyDescent="0.25">
      <c r="A66" s="1">
        <v>1995</v>
      </c>
      <c r="B66" s="1">
        <v>1</v>
      </c>
      <c r="C66" s="15">
        <v>2.5933420762369597</v>
      </c>
      <c r="D66" s="10">
        <v>6.36388</v>
      </c>
      <c r="E66" s="10">
        <v>-5.4191499999999992</v>
      </c>
      <c r="F66" s="10">
        <v>-11.596000000000002</v>
      </c>
      <c r="G66" s="16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2.75" customHeight="1" x14ac:dyDescent="0.25">
      <c r="A67" s="1">
        <v>1995</v>
      </c>
      <c r="B67" s="1">
        <v>2</v>
      </c>
      <c r="C67" s="15">
        <v>3.8971615295402495</v>
      </c>
      <c r="D67" s="10">
        <v>-1.6</v>
      </c>
      <c r="E67" s="10">
        <v>4.1157300000000001</v>
      </c>
      <c r="F67" s="10">
        <v>1.02989</v>
      </c>
      <c r="G67" s="16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2.75" customHeight="1" x14ac:dyDescent="0.25">
      <c r="A68" s="1">
        <v>1995</v>
      </c>
      <c r="B68" s="1">
        <v>3</v>
      </c>
      <c r="C68" s="15">
        <v>2.9506903738757861</v>
      </c>
      <c r="D68" s="10">
        <v>-6.3730599999999997</v>
      </c>
      <c r="E68" s="10">
        <v>16.428639999999998</v>
      </c>
      <c r="F68" s="10">
        <v>7.0058300000000004</v>
      </c>
      <c r="G68" s="16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2.75" customHeight="1" x14ac:dyDescent="0.25">
      <c r="A69" s="1">
        <v>1995</v>
      </c>
      <c r="B69" s="1">
        <v>4</v>
      </c>
      <c r="C69" s="15">
        <v>2.9446308724832226</v>
      </c>
      <c r="D69" s="10">
        <v>3.0496100000000004</v>
      </c>
      <c r="E69" s="10">
        <v>2.2255800000000003</v>
      </c>
      <c r="F69" s="10">
        <v>3.5605800000000003</v>
      </c>
      <c r="G69" s="16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2.75" customHeight="1" x14ac:dyDescent="0.25">
      <c r="A70" s="1">
        <v>1995</v>
      </c>
      <c r="B70" s="1">
        <v>5</v>
      </c>
      <c r="C70" s="15">
        <v>3.996844838959146</v>
      </c>
      <c r="D70" s="10">
        <v>6.3122100000000003</v>
      </c>
      <c r="E70" s="10">
        <v>7.4018200000000007</v>
      </c>
      <c r="F70" s="10">
        <v>-5.6515199999999997</v>
      </c>
      <c r="G70" s="16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2.75" customHeight="1" x14ac:dyDescent="0.25">
      <c r="A71" s="1">
        <v>1995</v>
      </c>
      <c r="B71" s="1">
        <v>6</v>
      </c>
      <c r="C71" s="15">
        <v>2.3227378440675572</v>
      </c>
      <c r="D71" s="10">
        <v>2.4547400000000001</v>
      </c>
      <c r="E71" s="10">
        <v>6.2693200000000004</v>
      </c>
      <c r="F71" s="10">
        <v>11.244969999999999</v>
      </c>
      <c r="G71" s="16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2.75" customHeight="1" x14ac:dyDescent="0.25">
      <c r="A72" s="1">
        <v>1995</v>
      </c>
      <c r="B72" s="1">
        <v>7</v>
      </c>
      <c r="C72" s="15">
        <v>3.3162974105108267</v>
      </c>
      <c r="D72" s="10">
        <v>-1.8793600000000001</v>
      </c>
      <c r="E72" s="10">
        <v>6.8843200000000007</v>
      </c>
      <c r="F72" s="10">
        <v>14.357549999999998</v>
      </c>
      <c r="G72" s="16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2.75" customHeight="1" x14ac:dyDescent="0.25">
      <c r="A73" s="1">
        <v>1995</v>
      </c>
      <c r="B73" s="1">
        <v>8</v>
      </c>
      <c r="C73" s="15">
        <v>0.25132234433258294</v>
      </c>
      <c r="D73" s="10">
        <v>0.55216999999999994</v>
      </c>
      <c r="E73" s="10">
        <v>-4.2044799999999993</v>
      </c>
      <c r="F73" s="10">
        <v>4.5348700000000006</v>
      </c>
      <c r="G73" s="16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2.75" customHeight="1" x14ac:dyDescent="0.25">
      <c r="A74" s="1">
        <v>1995</v>
      </c>
      <c r="B74" s="1">
        <v>9</v>
      </c>
      <c r="C74" s="15">
        <v>4.2201962849549801</v>
      </c>
      <c r="D74" s="10">
        <v>6.4934100000000008</v>
      </c>
      <c r="E74" s="10">
        <v>6.5406300000000002</v>
      </c>
      <c r="F74" s="10">
        <v>-2.0250599999999999</v>
      </c>
      <c r="G74" s="16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2.75" customHeight="1" x14ac:dyDescent="0.25">
      <c r="A75" s="1">
        <v>1995</v>
      </c>
      <c r="B75" s="1">
        <v>10</v>
      </c>
      <c r="C75" s="15">
        <v>-0.35739814152967453</v>
      </c>
      <c r="D75" s="10">
        <v>4.7110000000000003</v>
      </c>
      <c r="E75" s="10">
        <v>-4.1292999999999997</v>
      </c>
      <c r="F75" s="10">
        <v>-18.825310000000002</v>
      </c>
      <c r="G75" s="16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2.75" customHeight="1" x14ac:dyDescent="0.25">
      <c r="A76" s="1">
        <v>1995</v>
      </c>
      <c r="B76" s="1">
        <v>11</v>
      </c>
      <c r="C76" s="15">
        <v>4.3898677585586077</v>
      </c>
      <c r="D76" s="10">
        <v>0.49015999999999998</v>
      </c>
      <c r="E76" s="10">
        <v>11.542749999999998</v>
      </c>
      <c r="F76" s="10">
        <v>-3.6401799999999995</v>
      </c>
      <c r="G76" s="16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2.75" customHeight="1" x14ac:dyDescent="0.25">
      <c r="A77" s="1">
        <v>1995</v>
      </c>
      <c r="B77" s="1">
        <v>12</v>
      </c>
      <c r="C77" s="15">
        <v>1.92620007875699</v>
      </c>
      <c r="D77" s="10">
        <v>7.1847700000000003</v>
      </c>
      <c r="E77" s="10">
        <v>7.4470700000000001</v>
      </c>
      <c r="F77" s="10">
        <v>-12.546460000000002</v>
      </c>
      <c r="G77" s="16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2.75" customHeight="1" x14ac:dyDescent="0.25">
      <c r="A78" s="1">
        <v>1996</v>
      </c>
      <c r="B78" s="1">
        <v>1</v>
      </c>
      <c r="C78" s="15">
        <v>3.4036073844568859</v>
      </c>
      <c r="D78" s="10">
        <v>9.159259999999998</v>
      </c>
      <c r="E78" s="10">
        <v>-1.2176900000000002</v>
      </c>
      <c r="F78" s="10">
        <v>-7.9265099999999995</v>
      </c>
      <c r="G78" s="16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2.75" customHeight="1" x14ac:dyDescent="0.25">
      <c r="A79" s="1">
        <v>1996</v>
      </c>
      <c r="B79" s="1">
        <v>2</v>
      </c>
      <c r="C79" s="15">
        <v>0.92710622710621138</v>
      </c>
      <c r="D79" s="10">
        <v>-1.85141</v>
      </c>
      <c r="E79" s="10">
        <v>4.9012900000000004</v>
      </c>
      <c r="F79" s="10">
        <v>14.278329999999999</v>
      </c>
      <c r="G79" s="16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2.75" customHeight="1" x14ac:dyDescent="0.25">
      <c r="A80" s="1">
        <v>1996</v>
      </c>
      <c r="B80" s="1">
        <v>3</v>
      </c>
      <c r="C80" s="15">
        <v>0.96262610498758505</v>
      </c>
      <c r="D80" s="10">
        <v>-2.7239099999999996</v>
      </c>
      <c r="E80" s="10">
        <v>6.6795800000000005</v>
      </c>
      <c r="F80" s="10">
        <v>6.0711500000000003</v>
      </c>
      <c r="G80" s="16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2.75" customHeight="1" x14ac:dyDescent="0.25">
      <c r="A81" s="1">
        <v>1996</v>
      </c>
      <c r="B81" s="1">
        <v>4</v>
      </c>
      <c r="C81" s="15">
        <v>1.4743274818764807</v>
      </c>
      <c r="D81" s="10">
        <v>-2.7946099999999996</v>
      </c>
      <c r="E81" s="10">
        <v>-5.2947499999999996</v>
      </c>
      <c r="F81" s="10">
        <v>12.059469999999999</v>
      </c>
      <c r="G81" s="16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2.75" customHeight="1" x14ac:dyDescent="0.25">
      <c r="A82" s="1">
        <v>1996</v>
      </c>
      <c r="B82" s="1">
        <v>5</v>
      </c>
      <c r="C82" s="15">
        <v>2.5789569394488288</v>
      </c>
      <c r="D82" s="10">
        <v>0.14615</v>
      </c>
      <c r="E82" s="10">
        <v>4.0448500000000003</v>
      </c>
      <c r="F82" s="10">
        <v>3.9943800000000005</v>
      </c>
      <c r="G82" s="16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2.75" customHeight="1" x14ac:dyDescent="0.25">
      <c r="A83" s="1">
        <v>1996</v>
      </c>
      <c r="B83" s="1">
        <v>6</v>
      </c>
      <c r="C83" s="15">
        <v>0.38149221705228165</v>
      </c>
      <c r="D83" s="10">
        <v>6.1305300000000003</v>
      </c>
      <c r="E83" s="10">
        <v>2.1005900000000004</v>
      </c>
      <c r="F83" s="10">
        <v>-11.996300000000002</v>
      </c>
      <c r="G83" s="16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2.75" customHeight="1" x14ac:dyDescent="0.25">
      <c r="A84" s="1">
        <v>1996</v>
      </c>
      <c r="B84" s="1">
        <v>7</v>
      </c>
      <c r="C84" s="15">
        <v>-4.4180787332226412</v>
      </c>
      <c r="D84" s="10">
        <v>-2.7392999999999996</v>
      </c>
      <c r="E84" s="10">
        <v>1.4770299999999998</v>
      </c>
      <c r="F84" s="10">
        <v>-10.915600000000001</v>
      </c>
      <c r="G84" s="16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2.75" customHeight="1" x14ac:dyDescent="0.25">
      <c r="A85" s="1">
        <v>1996</v>
      </c>
      <c r="B85" s="1">
        <v>8</v>
      </c>
      <c r="C85" s="15">
        <v>2.1094636716809667</v>
      </c>
      <c r="D85" s="10">
        <v>1.34578</v>
      </c>
      <c r="E85" s="10">
        <v>2.4762700000000004</v>
      </c>
      <c r="F85" s="10">
        <v>4.3400300000000005</v>
      </c>
      <c r="G85" s="16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2.75" customHeight="1" x14ac:dyDescent="0.25">
      <c r="A86" s="1">
        <v>1996</v>
      </c>
      <c r="B86" s="1">
        <v>9</v>
      </c>
      <c r="C86" s="15">
        <v>5.6284838743032362</v>
      </c>
      <c r="D86" s="10">
        <v>-2.2084299999999994</v>
      </c>
      <c r="E86" s="10">
        <v>4.31989</v>
      </c>
      <c r="F86" s="10">
        <v>-8.1493100000000016</v>
      </c>
      <c r="G86" s="16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2.75" customHeight="1" x14ac:dyDescent="0.25">
      <c r="A87" s="1">
        <v>1996</v>
      </c>
      <c r="B87" s="1">
        <v>10</v>
      </c>
      <c r="C87" s="15">
        <v>2.7580575906096527</v>
      </c>
      <c r="D87" s="10">
        <v>2.3615400000000002</v>
      </c>
      <c r="E87" s="10">
        <v>0.82697999999999994</v>
      </c>
      <c r="F87" s="10">
        <v>-6.9060199999999998</v>
      </c>
      <c r="G87" s="16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2.75" customHeight="1" x14ac:dyDescent="0.25">
      <c r="A88" s="1">
        <v>1996</v>
      </c>
      <c r="B88" s="1">
        <v>11</v>
      </c>
      <c r="C88" s="15">
        <v>7.5586732484627994</v>
      </c>
      <c r="D88" s="10">
        <v>1.04114</v>
      </c>
      <c r="E88" s="10">
        <v>4.3875000000000002</v>
      </c>
      <c r="F88" s="10">
        <v>12.188719999999998</v>
      </c>
      <c r="G88" s="16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2.75" customHeight="1" x14ac:dyDescent="0.25">
      <c r="A89" s="1">
        <v>1996</v>
      </c>
      <c r="B89" s="1">
        <v>12</v>
      </c>
      <c r="C89" s="15">
        <v>-1.9814127441665663</v>
      </c>
      <c r="D89" s="10">
        <v>-1.0036100000000001</v>
      </c>
      <c r="E89" s="10">
        <v>7.0687300000000004</v>
      </c>
      <c r="F89" s="10">
        <v>4.5104300000000004</v>
      </c>
      <c r="G89" s="16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2.75" customHeight="1" x14ac:dyDescent="0.25">
      <c r="A90" s="1">
        <v>1997</v>
      </c>
      <c r="B90" s="1">
        <v>1</v>
      </c>
      <c r="C90" s="15">
        <v>6.2474779160424543</v>
      </c>
      <c r="D90" s="10">
        <v>0.50789999999999991</v>
      </c>
      <c r="E90" s="10">
        <v>0.48779</v>
      </c>
      <c r="F90" s="10">
        <v>2.7454500000000004</v>
      </c>
      <c r="G90" s="16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2.75" customHeight="1" x14ac:dyDescent="0.25">
      <c r="A91" s="1">
        <v>1997</v>
      </c>
      <c r="B91" s="1">
        <v>2</v>
      </c>
      <c r="C91" s="15">
        <v>0.78377101129656346</v>
      </c>
      <c r="D91" s="10">
        <v>2.2565000000000004</v>
      </c>
      <c r="E91" s="10">
        <v>-4.8570199999999994</v>
      </c>
      <c r="F91" s="10">
        <v>11.223259999999998</v>
      </c>
      <c r="G91" s="16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2.75" customHeight="1" x14ac:dyDescent="0.25">
      <c r="A92" s="1">
        <v>1997</v>
      </c>
      <c r="B92" s="1">
        <v>3</v>
      </c>
      <c r="C92" s="15">
        <v>-4.1088324218896188</v>
      </c>
      <c r="D92" s="10">
        <v>-1.2976100000000002</v>
      </c>
      <c r="E92" s="10">
        <v>-3.1702699999999995</v>
      </c>
      <c r="F92" s="10">
        <v>-0.19528000000000001</v>
      </c>
      <c r="G92" s="16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2.75" customHeight="1" x14ac:dyDescent="0.25">
      <c r="A93" s="1">
        <v>1997</v>
      </c>
      <c r="B93" s="1">
        <v>4</v>
      </c>
      <c r="C93" s="15">
        <v>5.9698880602238935</v>
      </c>
      <c r="D93" s="10">
        <v>-1.91818</v>
      </c>
      <c r="E93" s="10">
        <v>-0.1</v>
      </c>
      <c r="F93" s="10">
        <v>4.6318900000000003</v>
      </c>
      <c r="G93" s="16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2.75" customHeight="1" x14ac:dyDescent="0.25">
      <c r="A94" s="1">
        <v>1997</v>
      </c>
      <c r="B94" s="1">
        <v>5</v>
      </c>
      <c r="C94" s="15">
        <v>6.0883211396422166</v>
      </c>
      <c r="D94" s="10">
        <v>1.6901199999999998</v>
      </c>
      <c r="E94" s="10">
        <v>7.0279400000000001</v>
      </c>
      <c r="F94" s="10">
        <v>2.7571400000000001</v>
      </c>
      <c r="G94" s="16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2.75" customHeight="1" x14ac:dyDescent="0.25">
      <c r="A95" s="1">
        <v>1997</v>
      </c>
      <c r="B95" s="1">
        <v>6</v>
      </c>
      <c r="C95" s="15">
        <v>4.4801769050336171</v>
      </c>
      <c r="D95" s="10">
        <v>3.1320000000000006</v>
      </c>
      <c r="E95" s="10">
        <v>0.61173999999999995</v>
      </c>
      <c r="F95" s="10">
        <v>3.9740700000000002</v>
      </c>
      <c r="G95" s="16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2.75" customHeight="1" x14ac:dyDescent="0.25">
      <c r="A96" s="1">
        <v>1997</v>
      </c>
      <c r="B96" s="1">
        <v>7</v>
      </c>
      <c r="C96" s="15">
        <v>7.9567609353423219</v>
      </c>
      <c r="D96" s="10">
        <v>6.6051400000000005</v>
      </c>
      <c r="E96" s="10">
        <v>10.500609999999998</v>
      </c>
      <c r="F96" s="10">
        <v>6.0428600000000001</v>
      </c>
      <c r="G96" s="16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2.75" customHeight="1" x14ac:dyDescent="0.25">
      <c r="A97" s="1">
        <v>1997</v>
      </c>
      <c r="B97" s="1">
        <v>8</v>
      </c>
      <c r="C97" s="15">
        <v>-5.6021671155203512</v>
      </c>
      <c r="D97" s="10">
        <v>-1.1324000000000001</v>
      </c>
      <c r="E97" s="10">
        <v>-6.99749</v>
      </c>
      <c r="F97" s="10">
        <v>11.568909999999999</v>
      </c>
      <c r="G97" s="16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2.75" customHeight="1" x14ac:dyDescent="0.25">
      <c r="A98" s="1">
        <v>1997</v>
      </c>
      <c r="B98" s="1">
        <v>9</v>
      </c>
      <c r="C98" s="15">
        <v>5.476659702073583</v>
      </c>
      <c r="D98" s="10">
        <v>4.0475900000000005</v>
      </c>
      <c r="E98" s="10">
        <v>-0.21376000000000001</v>
      </c>
      <c r="F98" s="10">
        <v>1.5210699999999999</v>
      </c>
      <c r="G98" s="16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2.75" customHeight="1" x14ac:dyDescent="0.25">
      <c r="A99" s="1">
        <v>1997</v>
      </c>
      <c r="B99" s="1">
        <v>10</v>
      </c>
      <c r="C99" s="15">
        <v>-3.3397145330569811</v>
      </c>
      <c r="D99" s="10">
        <v>3.7461500000000005</v>
      </c>
      <c r="E99" s="10">
        <v>-11.926300000000001</v>
      </c>
      <c r="F99" s="10">
        <v>2.1304200000000004</v>
      </c>
      <c r="G99" s="16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2.75" customHeight="1" x14ac:dyDescent="0.25">
      <c r="A100" s="1">
        <v>1997</v>
      </c>
      <c r="B100" s="1">
        <v>11</v>
      </c>
      <c r="C100" s="15">
        <v>4.6292313075171565</v>
      </c>
      <c r="D100" s="10">
        <v>6.06508</v>
      </c>
      <c r="E100" s="10">
        <v>10.868749999999999</v>
      </c>
      <c r="F100" s="10">
        <v>25.353809999999999</v>
      </c>
      <c r="G100" s="16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2.75" customHeight="1" x14ac:dyDescent="0.25">
      <c r="A101" s="1">
        <v>1997</v>
      </c>
      <c r="B101" s="1">
        <v>12</v>
      </c>
      <c r="C101" s="15">
        <v>1.71737312161091</v>
      </c>
      <c r="D101" s="10">
        <v>4.0603600000000002</v>
      </c>
      <c r="E101" s="10">
        <v>-7.9814099999999994</v>
      </c>
      <c r="F101" s="10">
        <v>-10.446430000000001</v>
      </c>
      <c r="G101" s="16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2.75" customHeight="1" x14ac:dyDescent="0.25">
      <c r="A102" s="1">
        <v>1998</v>
      </c>
      <c r="B102" s="1">
        <v>1</v>
      </c>
      <c r="C102" s="15">
        <v>1.1060800526015546</v>
      </c>
      <c r="D102" s="10">
        <v>-4.5784499999999992</v>
      </c>
      <c r="E102" s="10">
        <v>-2.7829899999999999</v>
      </c>
      <c r="F102" s="10">
        <v>0.38232000000000005</v>
      </c>
      <c r="G102" s="16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2.75" customHeight="1" x14ac:dyDescent="0.25">
      <c r="A103" s="1">
        <v>1998</v>
      </c>
      <c r="B103" s="1">
        <v>2</v>
      </c>
      <c r="C103" s="15">
        <v>7.2125295178828486</v>
      </c>
      <c r="D103" s="10">
        <v>-1.5458700000000001</v>
      </c>
      <c r="E103" s="10">
        <v>14.104719999999999</v>
      </c>
      <c r="F103" s="10">
        <v>14.738709999999999</v>
      </c>
      <c r="G103" s="16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2.75" customHeight="1" x14ac:dyDescent="0.25">
      <c r="A104" s="1">
        <v>1998</v>
      </c>
      <c r="B104" s="1">
        <v>3</v>
      </c>
      <c r="C104" s="15">
        <v>5.1208146027313051</v>
      </c>
      <c r="D104" s="10">
        <v>4.5875000000000004</v>
      </c>
      <c r="E104" s="10">
        <v>-4.0170500000000002</v>
      </c>
      <c r="F104" s="10">
        <v>5.7427000000000001</v>
      </c>
      <c r="G104" s="16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2.75" customHeight="1" x14ac:dyDescent="0.25">
      <c r="A105" s="1">
        <v>1998</v>
      </c>
      <c r="B105" s="1">
        <v>4</v>
      </c>
      <c r="C105" s="15">
        <v>1.0060831204387499</v>
      </c>
      <c r="D105" s="10">
        <v>-5.0751200000000001</v>
      </c>
      <c r="E105" s="10">
        <v>-4.0558800000000002</v>
      </c>
      <c r="F105" s="10">
        <v>5.7510600000000007</v>
      </c>
      <c r="G105" s="16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2.75" customHeight="1" x14ac:dyDescent="0.25">
      <c r="A106" s="1">
        <v>1998</v>
      </c>
      <c r="B106" s="1">
        <v>5</v>
      </c>
      <c r="C106" s="15">
        <v>-1.7187921227490799</v>
      </c>
      <c r="D106" s="10">
        <v>-3.8172799999999998</v>
      </c>
      <c r="E106" s="10">
        <v>-4.4405299999999999</v>
      </c>
      <c r="F106" s="10">
        <v>-11.155280000000001</v>
      </c>
      <c r="G106" s="16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2.75" customHeight="1" x14ac:dyDescent="0.25">
      <c r="A107" s="1">
        <v>1998</v>
      </c>
      <c r="B107" s="1">
        <v>6</v>
      </c>
      <c r="C107" s="15">
        <v>4.0618897585273039</v>
      </c>
      <c r="D107" s="10">
        <v>-0.1</v>
      </c>
      <c r="E107" s="10">
        <v>-6.7743499999999992</v>
      </c>
      <c r="F107" s="10">
        <v>20.044629999999998</v>
      </c>
      <c r="G107" s="16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2.75" customHeight="1" x14ac:dyDescent="0.25">
      <c r="A108" s="1">
        <v>1998</v>
      </c>
      <c r="B108" s="1">
        <v>7</v>
      </c>
      <c r="C108" s="15">
        <v>-1.0648387371064882</v>
      </c>
      <c r="D108" s="10">
        <v>-5.4707999999999997</v>
      </c>
      <c r="E108" s="10">
        <v>-13.003080000000001</v>
      </c>
      <c r="F108" s="10">
        <v>6.9669400000000001</v>
      </c>
      <c r="G108" s="16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2.75" customHeight="1" x14ac:dyDescent="0.25">
      <c r="A109" s="1">
        <v>1998</v>
      </c>
      <c r="B109" s="1">
        <v>8</v>
      </c>
      <c r="C109" s="15">
        <v>-14.457718218420057</v>
      </c>
      <c r="D109" s="10">
        <v>6.68187</v>
      </c>
      <c r="E109" s="10">
        <v>-20.028890000000001</v>
      </c>
      <c r="F109" s="10">
        <v>-4.0602900000000002</v>
      </c>
      <c r="G109" s="16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2.75" customHeight="1" x14ac:dyDescent="0.25">
      <c r="A110" s="1">
        <v>1998</v>
      </c>
      <c r="B110" s="1">
        <v>9</v>
      </c>
      <c r="C110" s="15">
        <v>6.4060393970495344</v>
      </c>
      <c r="D110" s="10">
        <v>7.7740300000000007</v>
      </c>
      <c r="E110" s="10">
        <v>10.808909999999999</v>
      </c>
      <c r="F110" s="10">
        <v>-1.86673</v>
      </c>
      <c r="G110" s="16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2.75" customHeight="1" x14ac:dyDescent="0.25">
      <c r="A111" s="1">
        <v>1998</v>
      </c>
      <c r="B111" s="1">
        <v>10</v>
      </c>
      <c r="C111" s="15">
        <v>8.1341989203888474</v>
      </c>
      <c r="D111" s="10">
        <v>0.15608</v>
      </c>
      <c r="E111" s="10">
        <v>9.3716299999999979</v>
      </c>
      <c r="F111" s="10">
        <v>-7.4570099999999995</v>
      </c>
      <c r="G111" s="16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2.75" customHeight="1" x14ac:dyDescent="0.25">
      <c r="A112" s="1">
        <v>1998</v>
      </c>
      <c r="B112" s="1">
        <v>11</v>
      </c>
      <c r="C112" s="15">
        <v>6.0607892486682191</v>
      </c>
      <c r="D112" s="10">
        <v>-4.1111999999999993</v>
      </c>
      <c r="E112" s="10">
        <v>8.4243499999999987</v>
      </c>
      <c r="F112" s="10">
        <v>-9.1791700000000009</v>
      </c>
      <c r="G112" s="16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2.75" customHeight="1" x14ac:dyDescent="0.25">
      <c r="A113" s="1">
        <v>1998</v>
      </c>
      <c r="B113" s="1">
        <v>12</v>
      </c>
      <c r="C113" s="15">
        <v>5.7625165055430028</v>
      </c>
      <c r="D113" s="10">
        <v>1.3835599999999999</v>
      </c>
      <c r="E113" s="10">
        <v>-19.792310000000001</v>
      </c>
      <c r="F113" s="10">
        <v>-8.4791900000000009</v>
      </c>
      <c r="G113" s="16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2.75" customHeight="1" x14ac:dyDescent="0.25">
      <c r="A114" s="1">
        <v>1999</v>
      </c>
      <c r="B114" s="1">
        <v>1</v>
      </c>
      <c r="C114" s="15">
        <v>4.1816017427482199</v>
      </c>
      <c r="D114" s="10">
        <v>-7.0056399999999996</v>
      </c>
      <c r="E114" s="10">
        <v>6.2233700000000001</v>
      </c>
      <c r="F114" s="10">
        <v>31.006149999999998</v>
      </c>
      <c r="G114" s="16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2.75" customHeight="1" x14ac:dyDescent="0.25">
      <c r="A115" s="1">
        <v>1999</v>
      </c>
      <c r="B115" s="1">
        <v>2</v>
      </c>
      <c r="C115" s="15">
        <v>-3.1078737745274032</v>
      </c>
      <c r="D115" s="10">
        <v>-3.7244999999999995</v>
      </c>
      <c r="E115" s="10">
        <v>3.0048200000000005</v>
      </c>
      <c r="F115" s="10">
        <v>2.9111100000000003</v>
      </c>
      <c r="G115" s="16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2.75" customHeight="1" x14ac:dyDescent="0.25">
      <c r="A116" s="1">
        <v>1999</v>
      </c>
      <c r="B116" s="1">
        <v>3</v>
      </c>
      <c r="C116" s="15">
        <v>4.0008494649616422</v>
      </c>
      <c r="D116" s="10">
        <v>-4.75345</v>
      </c>
      <c r="E116" s="10">
        <v>-4.6613999999999995</v>
      </c>
      <c r="F116" s="10">
        <v>14.799509999999998</v>
      </c>
      <c r="G116" s="16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2.75" customHeight="1" x14ac:dyDescent="0.25">
      <c r="A117" s="1">
        <v>1999</v>
      </c>
      <c r="B117" s="1">
        <v>4</v>
      </c>
      <c r="C117" s="15">
        <v>3.8725493551264867</v>
      </c>
      <c r="D117" s="10">
        <v>4.3093900000000005</v>
      </c>
      <c r="E117" s="10">
        <v>19.385289999999998</v>
      </c>
      <c r="F117" s="10">
        <v>13.903199999999998</v>
      </c>
      <c r="G117" s="16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2.75" customHeight="1" x14ac:dyDescent="0.25">
      <c r="A118" s="1">
        <v>1999</v>
      </c>
      <c r="B118" s="1">
        <v>5</v>
      </c>
      <c r="C118" s="15">
        <v>-2.3613672131111541</v>
      </c>
      <c r="D118" s="10">
        <v>6.0224000000000002</v>
      </c>
      <c r="E118" s="10">
        <v>3.7843100000000005</v>
      </c>
      <c r="F118" s="10">
        <v>13.302059999999999</v>
      </c>
      <c r="G118" s="16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2.75" customHeight="1" x14ac:dyDescent="0.25">
      <c r="A119" s="1">
        <v>1999</v>
      </c>
      <c r="B119" s="1">
        <v>6</v>
      </c>
      <c r="C119" s="15">
        <v>5.5497347454000145</v>
      </c>
      <c r="D119" s="10">
        <v>-13.499420000000001</v>
      </c>
      <c r="E119" s="10">
        <v>4.5050000000000008</v>
      </c>
      <c r="F119" s="10">
        <v>18.506059999999998</v>
      </c>
      <c r="G119" s="16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2.75" customHeight="1" x14ac:dyDescent="0.25">
      <c r="A120" s="1">
        <v>1999</v>
      </c>
      <c r="B120" s="1">
        <v>7</v>
      </c>
      <c r="C120" s="15">
        <v>-3.1224707384924</v>
      </c>
      <c r="D120" s="10">
        <v>-5.9248799999999999</v>
      </c>
      <c r="E120" s="10">
        <v>3.0250000000000004</v>
      </c>
      <c r="F120" s="10">
        <v>4.8882400000000006</v>
      </c>
      <c r="G120" s="16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2.75" customHeight="1" x14ac:dyDescent="0.25">
      <c r="A121" s="1">
        <v>1999</v>
      </c>
      <c r="B121" s="1">
        <v>8</v>
      </c>
      <c r="C121" s="15">
        <v>-0.49472522262635765</v>
      </c>
      <c r="D121" s="10">
        <v>4.2477</v>
      </c>
      <c r="E121" s="10">
        <v>7.1899999999999992E-2</v>
      </c>
      <c r="F121" s="10">
        <v>-8.0180699999999998</v>
      </c>
      <c r="G121" s="16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2.75" customHeight="1" x14ac:dyDescent="0.25">
      <c r="A122" s="1">
        <v>1999</v>
      </c>
      <c r="B122" s="1">
        <v>9</v>
      </c>
      <c r="C122" s="15">
        <v>-2.7413986179419925</v>
      </c>
      <c r="D122" s="10">
        <v>-6.1253899999999994</v>
      </c>
      <c r="E122" s="10">
        <v>-6.03207</v>
      </c>
      <c r="F122" s="10">
        <v>9.3984099999999984</v>
      </c>
      <c r="G122" s="16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2.75" customHeight="1" x14ac:dyDescent="0.25">
      <c r="A123" s="1">
        <v>1999</v>
      </c>
      <c r="B123" s="1">
        <v>10</v>
      </c>
      <c r="C123" s="15">
        <v>6.328068656942043</v>
      </c>
      <c r="D123" s="10">
        <v>0.9988999999999999</v>
      </c>
      <c r="E123" s="10">
        <v>7.9656899999999995</v>
      </c>
      <c r="F123" s="10">
        <v>21.785159999999998</v>
      </c>
      <c r="G123" s="16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2.75" customHeight="1" x14ac:dyDescent="0.25">
      <c r="A124" s="1">
        <v>1999</v>
      </c>
      <c r="B124" s="1">
        <v>11</v>
      </c>
      <c r="C124" s="15">
        <v>2.0328316773894572</v>
      </c>
      <c r="D124" s="10">
        <v>-7.4188399999999994</v>
      </c>
      <c r="E124" s="10">
        <v>-11.601640000000002</v>
      </c>
      <c r="F124" s="10">
        <v>21.526979999999998</v>
      </c>
      <c r="G124" s="16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2.75" customHeight="1" x14ac:dyDescent="0.25">
      <c r="A125" s="1">
        <v>1999</v>
      </c>
      <c r="B125" s="1">
        <v>12</v>
      </c>
      <c r="C125" s="15">
        <v>5.8896158661477127</v>
      </c>
      <c r="D125" s="10">
        <v>2.2904400000000003</v>
      </c>
      <c r="E125" s="10">
        <v>1.90123</v>
      </c>
      <c r="F125" s="10">
        <v>-35.835069999999995</v>
      </c>
      <c r="G125" s="16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2.75" customHeight="1" x14ac:dyDescent="0.25">
      <c r="A126" s="1">
        <v>2000</v>
      </c>
      <c r="B126" s="1">
        <v>1</v>
      </c>
      <c r="C126" s="15">
        <v>-5.0242381397852416</v>
      </c>
      <c r="D126" s="10">
        <v>4.1801600000000008</v>
      </c>
      <c r="E126" s="10">
        <v>7.2893500000000007</v>
      </c>
      <c r="F126" s="10">
        <v>-0.73633000000000004</v>
      </c>
      <c r="G126" s="16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2.75" customHeight="1" x14ac:dyDescent="0.25">
      <c r="A127" s="1">
        <v>2000</v>
      </c>
      <c r="B127" s="1">
        <v>2</v>
      </c>
      <c r="C127" s="15">
        <v>-1.8929692615169635</v>
      </c>
      <c r="D127" s="10">
        <v>-14.353730000000001</v>
      </c>
      <c r="E127" s="10">
        <v>-16.778650000000003</v>
      </c>
      <c r="F127" s="10">
        <v>-22.350640000000002</v>
      </c>
      <c r="G127" s="16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2.75" customHeight="1" x14ac:dyDescent="0.25">
      <c r="A128" s="1">
        <v>2000</v>
      </c>
      <c r="B128" s="1">
        <v>3</v>
      </c>
      <c r="C128" s="15">
        <v>9.7828562691034016</v>
      </c>
      <c r="D128" s="10">
        <v>5.9017800000000005</v>
      </c>
      <c r="E128" s="10">
        <v>2.2688300000000003</v>
      </c>
      <c r="F128" s="10">
        <v>33.597370000000005</v>
      </c>
      <c r="G128" s="16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2.75" customHeight="1" x14ac:dyDescent="0.25">
      <c r="A129" s="1">
        <v>2000</v>
      </c>
      <c r="B129" s="1">
        <v>4</v>
      </c>
      <c r="C129" s="15">
        <v>-3.0085711149123284</v>
      </c>
      <c r="D129" s="10">
        <v>22.749089999999999</v>
      </c>
      <c r="E129" s="10">
        <v>4.8586100000000005</v>
      </c>
      <c r="F129" s="10">
        <v>12.215269999999999</v>
      </c>
      <c r="G129" s="16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2.75" customHeight="1" x14ac:dyDescent="0.25">
      <c r="A130" s="1">
        <v>2000</v>
      </c>
      <c r="B130" s="1">
        <v>5</v>
      </c>
      <c r="C130" s="15">
        <v>-2.051707537437375</v>
      </c>
      <c r="D130" s="10">
        <v>-1.3614300000000001</v>
      </c>
      <c r="E130" s="10">
        <v>-1.32203</v>
      </c>
      <c r="F130" s="10">
        <v>-25.319300000000002</v>
      </c>
      <c r="G130" s="16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2.75" customHeight="1" x14ac:dyDescent="0.25">
      <c r="A131" s="1">
        <v>2000</v>
      </c>
      <c r="B131" s="1">
        <v>6</v>
      </c>
      <c r="C131" s="15">
        <v>2.4653316710793627</v>
      </c>
      <c r="D131" s="10">
        <v>-16.797130000000003</v>
      </c>
      <c r="E131" s="10">
        <v>6.9399100000000002</v>
      </c>
      <c r="F131" s="10">
        <v>11.172729999999998</v>
      </c>
      <c r="G131" s="16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2.75" customHeight="1" x14ac:dyDescent="0.25">
      <c r="A132" s="1">
        <v>2000</v>
      </c>
      <c r="B132" s="1">
        <v>7</v>
      </c>
      <c r="C132" s="15">
        <v>-1.5634206564886122</v>
      </c>
      <c r="D132" s="10">
        <v>10.661179999999998</v>
      </c>
      <c r="E132" s="10">
        <v>16.641209999999997</v>
      </c>
      <c r="F132" s="10">
        <v>18.897359999999999</v>
      </c>
      <c r="G132" s="16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2.75" customHeight="1" x14ac:dyDescent="0.25">
      <c r="A133" s="1">
        <v>2000</v>
      </c>
      <c r="B133" s="1">
        <v>8</v>
      </c>
      <c r="C133" s="15">
        <v>6.2114374917039195</v>
      </c>
      <c r="D133" s="10">
        <v>8.7745299999999986</v>
      </c>
      <c r="E133" s="10">
        <v>10.044839999999999</v>
      </c>
      <c r="F133" s="10">
        <v>4.6113100000000005</v>
      </c>
      <c r="G133" s="16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2.75" customHeight="1" x14ac:dyDescent="0.25">
      <c r="A134" s="1">
        <v>2000</v>
      </c>
      <c r="B134" s="1">
        <v>9</v>
      </c>
      <c r="C134" s="15">
        <v>-5.2793342811741972</v>
      </c>
      <c r="D134" s="10">
        <v>11.111389999999998</v>
      </c>
      <c r="E134" s="10">
        <v>17.61562</v>
      </c>
      <c r="F134" s="10">
        <v>9.4695499999999981</v>
      </c>
      <c r="G134" s="16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2.75" customHeight="1" x14ac:dyDescent="0.25">
      <c r="A135" s="1">
        <v>2000</v>
      </c>
      <c r="B135" s="1">
        <v>10</v>
      </c>
      <c r="C135" s="15">
        <v>-0.42275948010668252</v>
      </c>
      <c r="D135" s="10">
        <v>6.1386400000000005</v>
      </c>
      <c r="E135" s="10">
        <v>7.3265400000000005</v>
      </c>
      <c r="F135" s="10">
        <v>-7.8369399999999994</v>
      </c>
      <c r="G135" s="16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2.75" customHeight="1" x14ac:dyDescent="0.25">
      <c r="A136" s="1">
        <v>2000</v>
      </c>
      <c r="B136" s="1">
        <v>11</v>
      </c>
      <c r="C136" s="15">
        <v>-7.8839541439010947</v>
      </c>
      <c r="D136" s="10">
        <v>12.189159999999999</v>
      </c>
      <c r="E136" s="10">
        <v>1.9497499999999999</v>
      </c>
      <c r="F136" s="10">
        <v>-21.483650000000001</v>
      </c>
      <c r="G136" s="16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2.75" customHeight="1" x14ac:dyDescent="0.25">
      <c r="A137" s="1">
        <v>2000</v>
      </c>
      <c r="B137" s="1">
        <v>12</v>
      </c>
      <c r="C137" s="15">
        <v>0.48944003990338825</v>
      </c>
      <c r="D137" s="10">
        <v>0.98695999999999984</v>
      </c>
      <c r="E137" s="10">
        <v>-4.5350799999999998</v>
      </c>
      <c r="F137" s="10">
        <v>-8.6482700000000019</v>
      </c>
      <c r="G137" s="16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2.75" customHeight="1" x14ac:dyDescent="0.25">
      <c r="A138" s="1">
        <v>2001</v>
      </c>
      <c r="B138" s="1">
        <v>1</v>
      </c>
      <c r="C138" s="15">
        <v>3.5479069210527125</v>
      </c>
      <c r="D138" s="10">
        <v>-7.0892499999999998</v>
      </c>
      <c r="E138" s="10">
        <v>-11.463640000000002</v>
      </c>
      <c r="F138" s="10">
        <v>28.45908</v>
      </c>
      <c r="G138" s="16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2.75" customHeight="1" x14ac:dyDescent="0.25">
      <c r="A139" s="1">
        <v>2001</v>
      </c>
      <c r="B139" s="1">
        <v>2</v>
      </c>
      <c r="C139" s="15">
        <v>-9.11816911276585</v>
      </c>
      <c r="D139" s="10">
        <v>11.206359999999998</v>
      </c>
      <c r="E139" s="10">
        <v>6.51539</v>
      </c>
      <c r="F139" s="10">
        <v>-22.338370000000001</v>
      </c>
      <c r="G139" s="16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2.75" customHeight="1" x14ac:dyDescent="0.25">
      <c r="A140" s="1">
        <v>2001</v>
      </c>
      <c r="B140" s="1">
        <v>3</v>
      </c>
      <c r="C140" s="15">
        <v>-6.3350635455373556</v>
      </c>
      <c r="D140" s="10">
        <v>-1.2358900000000002</v>
      </c>
      <c r="E140" s="10">
        <v>-10.534080000000001</v>
      </c>
      <c r="F140" s="10">
        <v>-14.247200000000001</v>
      </c>
      <c r="G140" s="16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2.75" customHeight="1" x14ac:dyDescent="0.25">
      <c r="A141" s="1">
        <v>2001</v>
      </c>
      <c r="B141" s="1">
        <v>4</v>
      </c>
      <c r="C141" s="15">
        <v>7.7710481452415214</v>
      </c>
      <c r="D141" s="10">
        <v>4.8787200000000004</v>
      </c>
      <c r="E141" s="10">
        <v>10.831609999999998</v>
      </c>
      <c r="F141" s="10">
        <v>-16.616760000000003</v>
      </c>
      <c r="G141" s="16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2.75" customHeight="1" x14ac:dyDescent="0.25">
      <c r="A142" s="1">
        <v>2001</v>
      </c>
      <c r="B142" s="1">
        <v>5</v>
      </c>
      <c r="C142" s="15">
        <v>0.66999275807382297</v>
      </c>
      <c r="D142" s="10">
        <v>2.8590600000000004</v>
      </c>
      <c r="E142" s="10">
        <v>1.9388399999999999</v>
      </c>
      <c r="F142" s="10">
        <v>-11.200230000000001</v>
      </c>
      <c r="G142" s="16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2.75" customHeight="1" x14ac:dyDescent="0.25">
      <c r="A143" s="1">
        <v>2001</v>
      </c>
      <c r="B143" s="1">
        <v>6</v>
      </c>
      <c r="C143" s="15">
        <v>-2.4338592419494653</v>
      </c>
      <c r="D143" s="10">
        <v>-8.1278900000000007</v>
      </c>
      <c r="E143" s="10">
        <v>-11.691670000000002</v>
      </c>
      <c r="F143" s="10">
        <v>12.110799999999999</v>
      </c>
      <c r="G143" s="16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2.75" customHeight="1" x14ac:dyDescent="0.25">
      <c r="A144" s="1">
        <v>2001</v>
      </c>
      <c r="B144" s="1">
        <v>7</v>
      </c>
      <c r="C144" s="15">
        <v>-0.98441307083095841</v>
      </c>
      <c r="D144" s="10">
        <v>-2.6341099999999997</v>
      </c>
      <c r="E144" s="10">
        <v>5.1697800000000003</v>
      </c>
      <c r="F144" s="10">
        <v>-7.5426199999999994</v>
      </c>
      <c r="G144" s="16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2.75" customHeight="1" x14ac:dyDescent="0.25">
      <c r="A145" s="1">
        <v>2001</v>
      </c>
      <c r="B145" s="17">
        <v>8</v>
      </c>
      <c r="C145" s="15">
        <v>-6.2601599999999991</v>
      </c>
      <c r="D145" s="10">
        <v>2.9444500000000002</v>
      </c>
      <c r="E145" s="10">
        <v>-12.333040000000002</v>
      </c>
      <c r="F145" s="10">
        <v>-17.20946</v>
      </c>
      <c r="G145" s="7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spans="1:26" ht="12.75" customHeight="1" x14ac:dyDescent="0.25">
      <c r="A146" s="1">
        <v>2001</v>
      </c>
      <c r="B146" s="17">
        <v>9</v>
      </c>
      <c r="C146" s="15">
        <v>-8.0752400000000009</v>
      </c>
      <c r="D146" s="10">
        <v>-5.6494899999999992</v>
      </c>
      <c r="E146" s="10">
        <v>-34.670309999999994</v>
      </c>
      <c r="F146" s="10">
        <v>3.7675200000000002</v>
      </c>
      <c r="G146" s="7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25">
      <c r="A147" s="1">
        <v>2001</v>
      </c>
      <c r="B147" s="17">
        <v>10</v>
      </c>
      <c r="C147" s="15">
        <v>1.90689</v>
      </c>
      <c r="D147" s="10">
        <v>-3.1765699999999994</v>
      </c>
      <c r="E147" s="10">
        <v>-2.7865699999999998</v>
      </c>
      <c r="F147" s="10">
        <v>2.9515500000000006</v>
      </c>
      <c r="G147" s="7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25">
      <c r="A148" s="1">
        <v>2001</v>
      </c>
      <c r="B148" s="17">
        <v>11</v>
      </c>
      <c r="C148" s="15">
        <v>7.6706200000000004</v>
      </c>
      <c r="D148" s="10">
        <v>-0.21933000000000002</v>
      </c>
      <c r="E148" s="10">
        <v>8.0901799999999984</v>
      </c>
      <c r="F148" s="10">
        <v>15.786349999999999</v>
      </c>
      <c r="G148" s="7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25">
      <c r="A149" s="1">
        <v>2001</v>
      </c>
      <c r="B149" s="17">
        <v>12</v>
      </c>
      <c r="C149" s="15">
        <v>0.87603000000000009</v>
      </c>
      <c r="D149" s="10">
        <v>5.42727</v>
      </c>
      <c r="E149" s="10">
        <v>10.384329999999999</v>
      </c>
      <c r="F149" s="10">
        <v>3.8364600000000002</v>
      </c>
      <c r="G149" s="7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25">
      <c r="A150" s="1">
        <v>2002</v>
      </c>
      <c r="B150" s="17">
        <v>1</v>
      </c>
      <c r="C150" s="15">
        <v>-1.45932</v>
      </c>
      <c r="D150" s="10">
        <v>-4.21211</v>
      </c>
      <c r="E150" s="10">
        <v>5.4956700000000005</v>
      </c>
      <c r="F150" s="10">
        <v>4.61761</v>
      </c>
      <c r="G150" s="7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25">
      <c r="A151" s="1">
        <v>2002</v>
      </c>
      <c r="B151" s="17">
        <v>2</v>
      </c>
      <c r="C151" s="15">
        <v>-1.9285099999999999</v>
      </c>
      <c r="D151" s="10">
        <v>6.3925700000000001</v>
      </c>
      <c r="E151" s="10">
        <v>12.549569999999999</v>
      </c>
      <c r="F151" s="10">
        <v>-13.044160000000002</v>
      </c>
      <c r="G151" s="7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25">
      <c r="A152" s="1">
        <v>2002</v>
      </c>
      <c r="B152" s="17">
        <v>3</v>
      </c>
      <c r="C152" s="15">
        <v>3.7609299999999997</v>
      </c>
      <c r="D152" s="10">
        <v>5.0083200000000003</v>
      </c>
      <c r="E152" s="10">
        <v>4.8825900000000004</v>
      </c>
      <c r="F152" s="10">
        <v>9.3752199999999988</v>
      </c>
      <c r="G152" s="7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25">
      <c r="A153" s="1">
        <v>2002</v>
      </c>
      <c r="B153" s="17">
        <v>4</v>
      </c>
      <c r="C153" s="15">
        <v>-6.0628099999999998</v>
      </c>
      <c r="D153" s="10">
        <v>-0.72920000000000007</v>
      </c>
      <c r="E153" s="10">
        <v>-7.6647699999999999</v>
      </c>
      <c r="F153" s="10">
        <v>3.7615200000000004</v>
      </c>
      <c r="G153" s="7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25">
      <c r="A154" s="1">
        <v>2002</v>
      </c>
      <c r="B154" s="17">
        <v>5</v>
      </c>
      <c r="C154" s="15">
        <v>-0.73670999999999998</v>
      </c>
      <c r="D154" s="10">
        <v>-5.4930099999999999</v>
      </c>
      <c r="E154" s="10">
        <v>-4.0910299999999999</v>
      </c>
      <c r="F154" s="10">
        <v>9.6435899999999979</v>
      </c>
      <c r="G154" s="7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25">
      <c r="A155" s="1">
        <v>2002</v>
      </c>
      <c r="B155" s="17">
        <v>6</v>
      </c>
      <c r="C155" s="15">
        <v>-7.1229799999999992</v>
      </c>
      <c r="D155" s="10">
        <v>-6.4421499999999998</v>
      </c>
      <c r="E155" s="10">
        <v>5.4099700000000004</v>
      </c>
      <c r="F155" s="10">
        <v>-12.307940000000002</v>
      </c>
      <c r="G155" s="7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25">
      <c r="A156" s="1">
        <v>2002</v>
      </c>
      <c r="B156" s="17">
        <v>7</v>
      </c>
      <c r="C156" s="15">
        <v>-7.79542</v>
      </c>
      <c r="D156" s="10">
        <v>-17.866120000000002</v>
      </c>
      <c r="E156" s="10">
        <v>-7.8333299999999992</v>
      </c>
      <c r="F156" s="10">
        <v>-14.936990000000002</v>
      </c>
      <c r="G156" s="7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25">
      <c r="A157" s="1">
        <v>2002</v>
      </c>
      <c r="B157" s="17">
        <v>8</v>
      </c>
      <c r="C157" s="15">
        <v>0.65656000000000003</v>
      </c>
      <c r="D157" s="10">
        <v>5.33908</v>
      </c>
      <c r="E157" s="10">
        <v>-10.408280000000001</v>
      </c>
      <c r="F157" s="10">
        <v>-14.982810000000001</v>
      </c>
      <c r="G157" s="7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25">
      <c r="A158" s="1">
        <v>2002</v>
      </c>
      <c r="B158" s="17">
        <v>9</v>
      </c>
      <c r="C158" s="15">
        <v>-10.86795</v>
      </c>
      <c r="D158" s="10">
        <v>-16.49296</v>
      </c>
      <c r="E158" s="10">
        <v>-8.0309399999999993</v>
      </c>
      <c r="F158" s="10">
        <v>-8.0394199999999998</v>
      </c>
      <c r="G158" s="7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25">
      <c r="A159" s="1">
        <v>2002</v>
      </c>
      <c r="B159" s="17">
        <v>10</v>
      </c>
      <c r="C159" s="15">
        <v>8.8015799999999995</v>
      </c>
      <c r="D159" s="10">
        <v>-10.166640000000001</v>
      </c>
      <c r="E159" s="10">
        <v>-12.933280000000002</v>
      </c>
      <c r="F159" s="10">
        <v>4.08744</v>
      </c>
      <c r="G159" s="7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25">
      <c r="A160" s="1">
        <v>2002</v>
      </c>
      <c r="B160" s="17">
        <v>11</v>
      </c>
      <c r="C160" s="15">
        <v>5.8859000000000004</v>
      </c>
      <c r="D160" s="10">
        <v>13.082529999999998</v>
      </c>
      <c r="E160" s="10">
        <v>14.757139999999998</v>
      </c>
      <c r="F160" s="10">
        <v>14.588999999999999</v>
      </c>
      <c r="G160" s="7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25">
      <c r="A161" s="1">
        <v>2002</v>
      </c>
      <c r="B161" s="17">
        <v>12</v>
      </c>
      <c r="C161" s="15">
        <v>-5.8747499999999997</v>
      </c>
      <c r="D161" s="10">
        <v>-3.9353299999999996</v>
      </c>
      <c r="E161" s="10">
        <v>-3.0705899999999997</v>
      </c>
      <c r="F161" s="10">
        <v>-21.194740000000003</v>
      </c>
      <c r="G161" s="7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25">
      <c r="A162" s="1">
        <v>2003</v>
      </c>
      <c r="B162" s="17">
        <v>1</v>
      </c>
      <c r="C162" s="15">
        <v>-2.6196700000000002</v>
      </c>
      <c r="D162" s="10">
        <v>-13.674830000000002</v>
      </c>
      <c r="E162" s="10">
        <v>-4.3437099999999997</v>
      </c>
      <c r="F162" s="10">
        <v>6.3567800000000005</v>
      </c>
      <c r="G162" s="7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25">
      <c r="A163" s="1">
        <v>2003</v>
      </c>
      <c r="B163" s="17">
        <v>2</v>
      </c>
      <c r="C163" s="15">
        <v>-1.50038</v>
      </c>
      <c r="D163" s="10">
        <v>-5.3497899999999996</v>
      </c>
      <c r="E163" s="10">
        <v>-12.319060000000002</v>
      </c>
      <c r="F163" s="10">
        <v>-1.6538900000000001</v>
      </c>
      <c r="G163" s="7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25">
      <c r="A164" s="1">
        <v>2003</v>
      </c>
      <c r="B164" s="17">
        <v>3</v>
      </c>
      <c r="C164" s="15">
        <v>0.97094000000000003</v>
      </c>
      <c r="D164" s="10">
        <v>4.8127599999999999</v>
      </c>
      <c r="E164" s="10">
        <v>-9.1711200000000019</v>
      </c>
      <c r="F164" s="10">
        <v>13.392869999999998</v>
      </c>
      <c r="G164" s="7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25">
      <c r="A165" s="1">
        <v>2003</v>
      </c>
      <c r="B165" s="17">
        <v>4</v>
      </c>
      <c r="C165" s="15">
        <v>8.2370099999999997</v>
      </c>
      <c r="D165" s="10">
        <v>15.348579999999998</v>
      </c>
      <c r="E165" s="10">
        <v>8.7587399999999977</v>
      </c>
      <c r="F165" s="10">
        <v>6.2705700000000002</v>
      </c>
      <c r="G165" s="7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25">
      <c r="A166" s="1">
        <v>2003</v>
      </c>
      <c r="B166" s="17">
        <v>5</v>
      </c>
      <c r="C166" s="15">
        <v>5.26877</v>
      </c>
      <c r="D166" s="10">
        <v>11.310159999999998</v>
      </c>
      <c r="E166" s="10">
        <v>12.949849999999998</v>
      </c>
      <c r="F166" s="10">
        <v>1.5448799999999998</v>
      </c>
      <c r="G166" s="7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25">
      <c r="A167" s="1">
        <v>2003</v>
      </c>
      <c r="B167" s="17">
        <v>6</v>
      </c>
      <c r="C167" s="15">
        <v>1.27563</v>
      </c>
      <c r="D167" s="10">
        <v>2.6203900000000004</v>
      </c>
      <c r="E167" s="10">
        <v>11.800879999999999</v>
      </c>
      <c r="F167" s="10">
        <v>9.0701199999999993</v>
      </c>
      <c r="G167" s="7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25">
      <c r="A168" s="1">
        <v>2003</v>
      </c>
      <c r="B168" s="17">
        <v>7</v>
      </c>
      <c r="C168" s="15">
        <v>1.7631600000000001</v>
      </c>
      <c r="D168" s="10">
        <v>-6.03362</v>
      </c>
      <c r="E168" s="10">
        <v>-3.5964999999999998</v>
      </c>
      <c r="F168" s="10">
        <v>0.8882199999999999</v>
      </c>
      <c r="G168" s="7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25">
      <c r="A169" s="1">
        <v>2003</v>
      </c>
      <c r="B169" s="17">
        <v>8</v>
      </c>
      <c r="C169" s="15">
        <v>1.9501999999999999</v>
      </c>
      <c r="D169" s="10">
        <v>2.0382800000000003</v>
      </c>
      <c r="E169" s="10">
        <v>13.305799999999998</v>
      </c>
      <c r="F169" s="10">
        <v>14.314749999999998</v>
      </c>
      <c r="G169" s="7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25">
      <c r="A170" s="1">
        <v>2003</v>
      </c>
      <c r="B170" s="17">
        <v>9</v>
      </c>
      <c r="C170" s="15">
        <v>-1.0619499999999999</v>
      </c>
      <c r="D170" s="10">
        <v>5.8696200000000003</v>
      </c>
      <c r="E170" s="10">
        <v>-8.2840100000000021</v>
      </c>
      <c r="F170" s="10">
        <v>-6.6460499999999998</v>
      </c>
      <c r="G170" s="7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25">
      <c r="A171" s="1">
        <v>2003</v>
      </c>
      <c r="B171" s="17">
        <v>10</v>
      </c>
      <c r="C171" s="15">
        <v>5.6569799999999999</v>
      </c>
      <c r="D171" s="10">
        <v>-6.1333299999999999</v>
      </c>
      <c r="E171" s="10">
        <v>12.017679999999999</v>
      </c>
      <c r="F171" s="10">
        <v>5.4614200000000004</v>
      </c>
      <c r="G171" s="7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25">
      <c r="A172" s="1">
        <v>2003</v>
      </c>
      <c r="B172" s="17">
        <v>11</v>
      </c>
      <c r="C172" s="15">
        <v>0.87982000000000005</v>
      </c>
      <c r="D172" s="10">
        <v>-0.63210000000000011</v>
      </c>
      <c r="E172" s="10">
        <v>8.1869999999999984E-2</v>
      </c>
      <c r="F172" s="10">
        <v>3.7679600000000004</v>
      </c>
      <c r="G172" s="7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25">
      <c r="A173" s="1">
        <v>2003</v>
      </c>
      <c r="B173" s="17">
        <v>12</v>
      </c>
      <c r="C173" s="15">
        <v>5.2444699999999997</v>
      </c>
      <c r="D173" s="10">
        <v>10.084179999999998</v>
      </c>
      <c r="E173" s="10">
        <v>9.6681699999999982</v>
      </c>
      <c r="F173" s="10">
        <v>-0.80626000000000009</v>
      </c>
      <c r="G173" s="7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25">
      <c r="A174" s="1">
        <v>2004</v>
      </c>
      <c r="B174" s="17">
        <v>1</v>
      </c>
      <c r="C174" s="15">
        <v>1.8354999999999999</v>
      </c>
      <c r="D174" s="10">
        <v>6.9140900000000007</v>
      </c>
      <c r="E174" s="10">
        <v>-1.02549</v>
      </c>
      <c r="F174" s="10">
        <v>6.0929600000000006</v>
      </c>
      <c r="G174" s="7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25">
      <c r="A175" s="1">
        <v>2004</v>
      </c>
      <c r="B175" s="17">
        <v>2</v>
      </c>
      <c r="C175" s="15">
        <v>1.38995</v>
      </c>
      <c r="D175" s="10">
        <v>6.6381300000000003</v>
      </c>
      <c r="E175" s="10">
        <v>4.18743</v>
      </c>
      <c r="F175" s="10">
        <v>5.9773500000000004</v>
      </c>
      <c r="G175" s="7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25">
      <c r="A176" s="1">
        <v>2004</v>
      </c>
      <c r="B176" s="17">
        <v>3</v>
      </c>
      <c r="C176" s="15">
        <v>-1.50864</v>
      </c>
      <c r="D176" s="10">
        <v>-4.67971</v>
      </c>
      <c r="E176" s="10">
        <v>-5.4032099999999996</v>
      </c>
      <c r="F176" s="10">
        <v>-4.1509299999999998</v>
      </c>
      <c r="G176" s="7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25">
      <c r="A177" s="1">
        <v>2004</v>
      </c>
      <c r="B177" s="17">
        <v>4</v>
      </c>
      <c r="C177" s="15">
        <v>-1.5698000000000001</v>
      </c>
      <c r="D177" s="10">
        <v>-7.6334099999999996</v>
      </c>
      <c r="E177" s="10">
        <v>3.8444900000000004</v>
      </c>
      <c r="F177" s="10">
        <v>-7.3376399999999995</v>
      </c>
      <c r="G177" s="7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25">
      <c r="A178" s="1">
        <v>2004</v>
      </c>
      <c r="B178" s="17">
        <v>5</v>
      </c>
      <c r="C178" s="15">
        <v>1.3722399999999999</v>
      </c>
      <c r="D178" s="10">
        <v>5.4190500000000004</v>
      </c>
      <c r="E178" s="10">
        <v>7.6535700000000002</v>
      </c>
      <c r="F178" s="10">
        <v>-1.3028600000000001</v>
      </c>
      <c r="G178" s="7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25">
      <c r="A179" s="1">
        <v>2004</v>
      </c>
      <c r="B179" s="17">
        <v>6</v>
      </c>
      <c r="C179" s="15">
        <v>1.9444900000000001</v>
      </c>
      <c r="D179" s="10">
        <v>0.62394999999999989</v>
      </c>
      <c r="E179" s="10">
        <v>11.450219999999998</v>
      </c>
      <c r="F179" s="10">
        <v>-5.8913799999999998</v>
      </c>
      <c r="G179" s="7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25">
      <c r="A180" s="1">
        <v>2004</v>
      </c>
      <c r="B180" s="17">
        <v>7</v>
      </c>
      <c r="C180" s="15">
        <v>-3.3096600000000005</v>
      </c>
      <c r="D180" s="10">
        <v>-2.8812499999999996</v>
      </c>
      <c r="E180" s="10">
        <v>-0.76549000000000011</v>
      </c>
      <c r="F180" s="10">
        <v>-2.4751299999999996</v>
      </c>
      <c r="G180" s="7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25">
      <c r="A181" s="1">
        <v>2004</v>
      </c>
      <c r="B181" s="17">
        <v>8</v>
      </c>
      <c r="C181" s="15">
        <v>0.40449999999999997</v>
      </c>
      <c r="D181" s="10">
        <v>6.2323700000000004</v>
      </c>
      <c r="E181" s="10">
        <v>3.1906400000000001</v>
      </c>
      <c r="F181" s="10">
        <v>-3.7135999999999996</v>
      </c>
      <c r="G181" s="7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25">
      <c r="A182" s="1">
        <v>2004</v>
      </c>
      <c r="B182" s="17">
        <v>9</v>
      </c>
      <c r="C182" s="15">
        <v>1.0830599999999999</v>
      </c>
      <c r="D182" s="10">
        <v>-2.4525799999999998</v>
      </c>
      <c r="E182" s="10">
        <v>-1.24899</v>
      </c>
      <c r="F182" s="10">
        <v>6.2103200000000003</v>
      </c>
      <c r="G182" s="7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25">
      <c r="A183" s="1">
        <v>2004</v>
      </c>
      <c r="B183" s="17">
        <v>10</v>
      </c>
      <c r="C183" s="15">
        <v>1.52769</v>
      </c>
      <c r="D183" s="10">
        <v>2.9350400000000003</v>
      </c>
      <c r="E183" s="10">
        <v>-3.4320399999999998</v>
      </c>
      <c r="F183" s="10">
        <v>4.4041900000000007</v>
      </c>
      <c r="G183" s="7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25">
      <c r="A184" s="1">
        <v>2004</v>
      </c>
      <c r="B184" s="17">
        <v>11</v>
      </c>
      <c r="C184" s="15">
        <v>4.04617</v>
      </c>
      <c r="D184" s="10">
        <v>4.7284200000000007</v>
      </c>
      <c r="E184" s="10">
        <v>7.6555100000000005</v>
      </c>
      <c r="F184" s="10">
        <v>6.2147300000000003</v>
      </c>
      <c r="G184" s="7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25">
      <c r="A185" s="1">
        <v>2004</v>
      </c>
      <c r="B185" s="17">
        <v>12</v>
      </c>
      <c r="C185" s="15">
        <v>3.40286</v>
      </c>
      <c r="D185" s="10">
        <v>0.39751000000000003</v>
      </c>
      <c r="E185" s="10">
        <v>-3.4600899999999997</v>
      </c>
      <c r="F185" s="10">
        <v>4.0495100000000006</v>
      </c>
      <c r="G185" s="7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25">
      <c r="A186" s="1">
        <v>2005</v>
      </c>
      <c r="B186" s="17">
        <v>1</v>
      </c>
      <c r="C186" s="15">
        <v>-2.4374799999999999</v>
      </c>
      <c r="D186" s="10">
        <v>2.5499700000000005</v>
      </c>
      <c r="E186" s="10">
        <v>-2.3599999999999994</v>
      </c>
      <c r="F186" s="10">
        <v>0.62992999999999988</v>
      </c>
      <c r="G186" s="7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25">
      <c r="A187" s="1">
        <v>2005</v>
      </c>
      <c r="B187" s="17">
        <v>2</v>
      </c>
      <c r="C187" s="15">
        <v>2.1044100000000001</v>
      </c>
      <c r="D187" s="10">
        <v>-4.3553199999999999</v>
      </c>
      <c r="E187" s="10">
        <v>9.0304399999999987</v>
      </c>
      <c r="F187" s="10">
        <v>-10.848790000000001</v>
      </c>
      <c r="G187" s="7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25">
      <c r="A188" s="1">
        <v>2005</v>
      </c>
      <c r="B188" s="17">
        <v>3</v>
      </c>
      <c r="C188" s="15">
        <v>-1.77081</v>
      </c>
      <c r="D188" s="10">
        <v>1.87605</v>
      </c>
      <c r="E188" s="10">
        <v>6.24892</v>
      </c>
      <c r="F188" s="10">
        <v>-17.217730000000003</v>
      </c>
      <c r="G188" s="7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25">
      <c r="A189" s="1">
        <v>2005</v>
      </c>
      <c r="B189" s="17">
        <v>4</v>
      </c>
      <c r="C189" s="15">
        <v>-1.89656</v>
      </c>
      <c r="D189" s="10">
        <v>3.3057600000000003</v>
      </c>
      <c r="E189" s="10">
        <v>1.7132099999999999</v>
      </c>
      <c r="F189" s="10">
        <v>1.8183699999999998</v>
      </c>
      <c r="G189" s="7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25">
      <c r="A190" s="1">
        <v>2005</v>
      </c>
      <c r="B190" s="17">
        <v>5</v>
      </c>
      <c r="C190" s="15">
        <v>3.1818499999999998</v>
      </c>
      <c r="D190" s="10">
        <v>2.2282200000000003</v>
      </c>
      <c r="E190" s="10">
        <v>7.6789000000000005</v>
      </c>
      <c r="F190" s="10">
        <v>0.66090999999999989</v>
      </c>
      <c r="G190" s="7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25">
      <c r="A191" s="1">
        <v>2005</v>
      </c>
      <c r="B191" s="17">
        <v>6</v>
      </c>
      <c r="C191" s="15">
        <v>0.14196</v>
      </c>
      <c r="D191" s="10">
        <v>3.2062500000000003</v>
      </c>
      <c r="E191" s="10">
        <v>3.1863900000000003</v>
      </c>
      <c r="F191" s="10">
        <v>-8.0093800000000002</v>
      </c>
      <c r="G191" s="7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25">
      <c r="A192" s="1">
        <v>2005</v>
      </c>
      <c r="B192" s="17">
        <v>7</v>
      </c>
      <c r="C192" s="15">
        <v>3.7188400000000001</v>
      </c>
      <c r="D192" s="10">
        <v>4.8633900000000008</v>
      </c>
      <c r="E192" s="10">
        <v>-8.4850000000000009E-2</v>
      </c>
      <c r="F192" s="10">
        <v>1.19478</v>
      </c>
      <c r="G192" s="7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25">
      <c r="A193" s="1">
        <v>2005</v>
      </c>
      <c r="B193" s="17">
        <v>8</v>
      </c>
      <c r="C193" s="15">
        <v>-0.91239999999999999</v>
      </c>
      <c r="D193" s="10">
        <v>-3.1232599999999997</v>
      </c>
      <c r="E193" s="10">
        <v>1.8088</v>
      </c>
      <c r="F193" s="10">
        <v>6.6746100000000004</v>
      </c>
      <c r="G193" s="7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25">
      <c r="A194" s="1">
        <v>2005</v>
      </c>
      <c r="B194" s="17">
        <v>9</v>
      </c>
      <c r="C194" s="15">
        <v>0.80991999999999986</v>
      </c>
      <c r="D194" s="10">
        <v>6.6778400000000007</v>
      </c>
      <c r="E194" s="10">
        <v>1.28765</v>
      </c>
      <c r="F194" s="10">
        <v>-1.13751</v>
      </c>
      <c r="G194" s="7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25">
      <c r="A195" s="1">
        <v>2005</v>
      </c>
      <c r="B195" s="17">
        <v>10</v>
      </c>
      <c r="C195" s="15">
        <v>-1.66706</v>
      </c>
      <c r="D195" s="10">
        <v>-4.4828699999999992</v>
      </c>
      <c r="E195" s="10">
        <v>-4.9712299999999994</v>
      </c>
      <c r="F195" s="10">
        <v>-10.987100000000002</v>
      </c>
      <c r="G195" s="7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25">
      <c r="A196" s="1">
        <v>2005</v>
      </c>
      <c r="B196" s="17">
        <v>11</v>
      </c>
      <c r="C196" s="15">
        <v>3.7822</v>
      </c>
      <c r="D196" s="10">
        <v>-2.8660699999999997</v>
      </c>
      <c r="E196" s="10">
        <v>5.7787100000000002</v>
      </c>
      <c r="F196" s="10">
        <v>4.2438900000000004</v>
      </c>
      <c r="G196" s="7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25">
      <c r="A197" s="1">
        <v>2005</v>
      </c>
      <c r="B197" s="17">
        <v>12</v>
      </c>
      <c r="C197" s="15">
        <v>3.4799999999999998E-2</v>
      </c>
      <c r="D197" s="10">
        <v>1.4052</v>
      </c>
      <c r="E197" s="10">
        <v>2.9063100000000004</v>
      </c>
      <c r="F197" s="10">
        <v>-7.9036</v>
      </c>
      <c r="G197" s="7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25">
      <c r="A198" s="1">
        <v>2006</v>
      </c>
      <c r="B198" s="17">
        <v>1</v>
      </c>
      <c r="C198" s="15">
        <v>2.6477900000000001</v>
      </c>
      <c r="D198" s="10">
        <v>0.52010999999999996</v>
      </c>
      <c r="E198" s="10">
        <v>-2.8477199999999998</v>
      </c>
      <c r="F198" s="10">
        <v>5.4634800000000006</v>
      </c>
      <c r="G198" s="7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25">
      <c r="A199" s="1">
        <v>2006</v>
      </c>
      <c r="B199" s="17">
        <v>2</v>
      </c>
      <c r="C199" s="15">
        <v>0.27133000000000002</v>
      </c>
      <c r="D199" s="10">
        <v>-1.30579</v>
      </c>
      <c r="E199" s="10">
        <v>6.7511200000000002</v>
      </c>
      <c r="F199" s="10">
        <v>-12.036940000000001</v>
      </c>
      <c r="G199" s="7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25">
      <c r="A200" s="1">
        <v>2006</v>
      </c>
      <c r="B200" s="17">
        <v>3</v>
      </c>
      <c r="C200" s="15">
        <v>1.2447600000000001</v>
      </c>
      <c r="D200" s="10">
        <v>-6.89452</v>
      </c>
      <c r="E200" s="10">
        <v>7.1086900000000002</v>
      </c>
      <c r="F200" s="10">
        <v>-1.7368300000000001</v>
      </c>
      <c r="G200" s="7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25">
      <c r="A201" s="1">
        <v>2006</v>
      </c>
      <c r="B201" s="17">
        <v>4</v>
      </c>
      <c r="C201" s="15">
        <v>1.3427800000000001</v>
      </c>
      <c r="D201" s="10">
        <v>-1.7460900000000001</v>
      </c>
      <c r="E201" s="10">
        <v>6.9832800000000006</v>
      </c>
      <c r="F201" s="10">
        <v>-11.696460000000002</v>
      </c>
      <c r="G201" s="7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25">
      <c r="A202" s="1">
        <v>2006</v>
      </c>
      <c r="B202" s="17">
        <v>5</v>
      </c>
      <c r="C202" s="15">
        <v>-2.8781500000000002</v>
      </c>
      <c r="D202" s="10">
        <v>3.4266000000000005</v>
      </c>
      <c r="E202" s="10">
        <v>1.983E-2</v>
      </c>
      <c r="F202" s="10">
        <v>-1.1588200000000002</v>
      </c>
      <c r="G202" s="7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25">
      <c r="A203" s="1">
        <v>2006</v>
      </c>
      <c r="B203" s="17">
        <v>6</v>
      </c>
      <c r="C203" s="15">
        <v>0.13557</v>
      </c>
      <c r="D203" s="10">
        <v>-0.15836</v>
      </c>
      <c r="E203" s="10">
        <v>-1.7096100000000001</v>
      </c>
      <c r="F203" s="10">
        <v>-16.865750000000002</v>
      </c>
      <c r="G203" s="7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25">
      <c r="A204" s="1">
        <v>2006</v>
      </c>
      <c r="B204" s="17">
        <v>7</v>
      </c>
      <c r="C204" s="15">
        <v>0.61685000000000001</v>
      </c>
      <c r="D204" s="10">
        <v>5.3598500000000007</v>
      </c>
      <c r="E204" s="10">
        <v>-5.5816299999999996</v>
      </c>
      <c r="F204" s="10">
        <v>15.399999999999999</v>
      </c>
      <c r="G204" s="7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25">
      <c r="A205" s="1">
        <v>2006</v>
      </c>
      <c r="B205" s="17">
        <v>8</v>
      </c>
      <c r="C205" s="15">
        <v>2.3793099999999998</v>
      </c>
      <c r="D205" s="10">
        <v>1.9210400000000001</v>
      </c>
      <c r="E205" s="10">
        <v>-2.9674799999999997</v>
      </c>
      <c r="F205" s="10">
        <v>11.588309999999998</v>
      </c>
      <c r="G205" s="7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25">
      <c r="A206" s="1">
        <v>2006</v>
      </c>
      <c r="B206" s="17">
        <v>9</v>
      </c>
      <c r="C206" s="15">
        <v>2.5769899999999999</v>
      </c>
      <c r="D206" s="10">
        <v>-0.40153999999999995</v>
      </c>
      <c r="E206" s="10">
        <v>5.1737000000000002</v>
      </c>
      <c r="F206" s="10">
        <v>6.766</v>
      </c>
      <c r="G206" s="7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25">
      <c r="A207" s="1">
        <v>2006</v>
      </c>
      <c r="B207" s="17">
        <v>10</v>
      </c>
      <c r="C207" s="15">
        <v>3.2586200000000001</v>
      </c>
      <c r="D207" s="10">
        <v>13.812569999999999</v>
      </c>
      <c r="E207" s="10">
        <v>1.1809099999999999</v>
      </c>
      <c r="F207" s="10">
        <v>-7.6647699999999999</v>
      </c>
      <c r="G207" s="7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25">
      <c r="A208" s="1">
        <v>2006</v>
      </c>
      <c r="B208" s="17">
        <v>11</v>
      </c>
      <c r="C208" s="15">
        <v>1.9015999999999997</v>
      </c>
      <c r="D208" s="10">
        <v>1.0344399999999998</v>
      </c>
      <c r="E208" s="10">
        <v>11.132159999999999</v>
      </c>
      <c r="F208" s="10">
        <v>-0.43631999999999999</v>
      </c>
      <c r="G208" s="7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25">
      <c r="A209" s="1">
        <v>2006</v>
      </c>
      <c r="B209" s="17">
        <v>12</v>
      </c>
      <c r="C209" s="15">
        <v>1.4027700000000001</v>
      </c>
      <c r="D209" s="10">
        <v>2.4776900000000004</v>
      </c>
      <c r="E209" s="10">
        <v>0.25016000000000005</v>
      </c>
      <c r="F209" s="10">
        <v>-4.3783799999999999</v>
      </c>
      <c r="G209" s="7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25">
      <c r="A210" s="1">
        <v>2007</v>
      </c>
      <c r="B210" s="17">
        <v>1</v>
      </c>
      <c r="C210" s="15">
        <v>1.5123200000000001</v>
      </c>
      <c r="D210" s="10">
        <v>2.1310900000000004</v>
      </c>
      <c r="E210" s="10">
        <v>0.71044999999999991</v>
      </c>
      <c r="F210" s="10">
        <v>31.604409999999998</v>
      </c>
      <c r="G210" s="7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25">
      <c r="A211" s="1">
        <v>2007</v>
      </c>
      <c r="B211" s="17">
        <v>2</v>
      </c>
      <c r="C211" s="15">
        <v>-1.9558800000000001</v>
      </c>
      <c r="D211" s="10">
        <v>3.9431900000000004</v>
      </c>
      <c r="E211" s="10">
        <v>-2.2773099999999995</v>
      </c>
      <c r="F211" s="10">
        <v>12.886429999999999</v>
      </c>
      <c r="G211" s="7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25">
      <c r="A212" s="1">
        <v>2007</v>
      </c>
      <c r="B212" s="17">
        <v>3</v>
      </c>
      <c r="C212" s="15">
        <v>1.11849</v>
      </c>
      <c r="D212" s="10">
        <v>8.4746099999999984</v>
      </c>
      <c r="E212" s="10">
        <v>1.7908999999999999</v>
      </c>
      <c r="F212" s="10">
        <v>8.1498999999999988</v>
      </c>
      <c r="G212" s="7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25">
      <c r="A213" s="1">
        <v>2007</v>
      </c>
      <c r="B213" s="17">
        <v>4</v>
      </c>
      <c r="C213" s="15">
        <v>4.4295400000000003</v>
      </c>
      <c r="D213" s="10">
        <v>2.9153900000000004</v>
      </c>
      <c r="E213" s="10">
        <v>4.5001600000000002</v>
      </c>
      <c r="F213" s="10">
        <v>7.4471700000000007</v>
      </c>
      <c r="G213" s="7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25">
      <c r="A214" s="1">
        <v>2007</v>
      </c>
      <c r="B214" s="17">
        <v>5</v>
      </c>
      <c r="C214" s="15">
        <v>3.4895</v>
      </c>
      <c r="D214" s="10">
        <v>-4.4807299999999994</v>
      </c>
      <c r="E214" s="10">
        <v>8.4376399999999983</v>
      </c>
      <c r="F214" s="10">
        <v>17.34066</v>
      </c>
      <c r="G214" s="7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25">
      <c r="A215" s="1">
        <v>2007</v>
      </c>
      <c r="B215" s="17">
        <v>6</v>
      </c>
      <c r="C215" s="15">
        <v>-1.6613199999999999</v>
      </c>
      <c r="D215" s="10">
        <v>-5.53775</v>
      </c>
      <c r="E215" s="10">
        <v>-4.5040199999999997</v>
      </c>
      <c r="F215" s="10">
        <v>-3.0291199999999998</v>
      </c>
      <c r="G215" s="7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25">
      <c r="A216" s="1">
        <v>2007</v>
      </c>
      <c r="B216" s="17">
        <v>7</v>
      </c>
      <c r="C216" s="15">
        <v>-3.1004999999999998</v>
      </c>
      <c r="D216" s="10">
        <v>-3.5413899999999998</v>
      </c>
      <c r="E216" s="10">
        <v>7.4603200000000003</v>
      </c>
      <c r="F216" s="10">
        <v>-24.270190000000003</v>
      </c>
      <c r="G216" s="7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25">
      <c r="A217" s="1">
        <v>2007</v>
      </c>
      <c r="B217" s="17">
        <v>8</v>
      </c>
      <c r="C217" s="15">
        <v>1.49901</v>
      </c>
      <c r="D217" s="10">
        <v>3.0731400000000004</v>
      </c>
      <c r="E217" s="10">
        <v>-6.2684199999999999</v>
      </c>
      <c r="F217" s="10">
        <v>-5.5118599999999995</v>
      </c>
      <c r="G217" s="7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25">
      <c r="A218" s="1">
        <v>2007</v>
      </c>
      <c r="B218" s="17">
        <v>9</v>
      </c>
      <c r="C218" s="15">
        <v>3.7398799999999994</v>
      </c>
      <c r="D218" s="10">
        <v>3.4971200000000002</v>
      </c>
      <c r="E218" s="10">
        <v>8.4729099999999988</v>
      </c>
      <c r="F218" s="10">
        <v>-13.183720000000001</v>
      </c>
      <c r="G218" s="7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25">
      <c r="A219" s="1">
        <v>2007</v>
      </c>
      <c r="B219" s="17">
        <v>10</v>
      </c>
      <c r="C219" s="15">
        <v>1.5907</v>
      </c>
      <c r="D219" s="10">
        <v>4.5224000000000002</v>
      </c>
      <c r="E219" s="10">
        <v>-6.1958199999999994</v>
      </c>
      <c r="F219" s="10">
        <v>-0.29360999999999998</v>
      </c>
      <c r="G219" s="7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25">
      <c r="A220" s="1">
        <v>2007</v>
      </c>
      <c r="B220" s="17">
        <v>11</v>
      </c>
      <c r="C220" s="15">
        <v>-4.1806599999999996</v>
      </c>
      <c r="D220" s="10">
        <v>-0.36964999999999998</v>
      </c>
      <c r="E220" s="10">
        <v>-5.8815200000000001</v>
      </c>
      <c r="F220" s="10">
        <v>-9.1688700000000019</v>
      </c>
      <c r="G220" s="7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25">
      <c r="A221" s="1">
        <v>2007</v>
      </c>
      <c r="B221" s="17">
        <v>12</v>
      </c>
      <c r="C221" s="15">
        <v>-0.69377</v>
      </c>
      <c r="D221" s="10">
        <v>-2.4285099999999997</v>
      </c>
      <c r="E221" s="10">
        <v>-5.5895199999999994</v>
      </c>
      <c r="F221" s="10">
        <v>-8.9648700000000012</v>
      </c>
      <c r="G221" s="7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25">
      <c r="A222" s="1">
        <v>2008</v>
      </c>
      <c r="B222" s="17">
        <v>1</v>
      </c>
      <c r="C222" s="15">
        <v>-5.9981600000000004</v>
      </c>
      <c r="D222" s="10">
        <v>-8.3259500000000006</v>
      </c>
      <c r="E222" s="10">
        <v>-4.9936699999999998</v>
      </c>
      <c r="F222" s="10">
        <v>2.8062900000000002</v>
      </c>
      <c r="G222" s="7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25">
      <c r="A223" s="1">
        <v>2008</v>
      </c>
      <c r="B223" s="17">
        <v>2</v>
      </c>
      <c r="C223" s="15">
        <v>-3.24858</v>
      </c>
      <c r="D223" s="10">
        <v>-3.3763899999999998</v>
      </c>
      <c r="E223" s="10">
        <v>-8.7980000000000003E-2</v>
      </c>
      <c r="F223" s="10">
        <v>0.47637000000000002</v>
      </c>
      <c r="G223" s="7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25">
      <c r="A224" s="1">
        <v>2008</v>
      </c>
      <c r="B224" s="17">
        <v>3</v>
      </c>
      <c r="C224" s="15">
        <v>-0.43179000000000006</v>
      </c>
      <c r="D224" s="10">
        <v>1.6350899999999999</v>
      </c>
      <c r="E224" s="10">
        <v>-10.270310000000002</v>
      </c>
      <c r="F224" s="10">
        <v>-6.9767899999999994</v>
      </c>
      <c r="G224" s="7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25">
      <c r="A225" s="1">
        <v>2008</v>
      </c>
      <c r="B225" s="17">
        <v>4</v>
      </c>
      <c r="C225" s="15">
        <v>4.8703099999999999</v>
      </c>
      <c r="D225" s="10">
        <v>7.1063400000000003</v>
      </c>
      <c r="E225" s="10">
        <v>14.005149999999999</v>
      </c>
      <c r="F225" s="10">
        <v>-14.561540000000001</v>
      </c>
      <c r="G225" s="7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25">
      <c r="A226" s="1">
        <v>2008</v>
      </c>
      <c r="B226" s="17">
        <v>5</v>
      </c>
      <c r="C226" s="15">
        <v>1.2952600000000001</v>
      </c>
      <c r="D226" s="10">
        <v>-4.3348199999999997</v>
      </c>
      <c r="E226" s="10">
        <v>-2.0915199999999996</v>
      </c>
      <c r="F226" s="10">
        <v>5.2956799999999999</v>
      </c>
      <c r="G226" s="7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25">
      <c r="A227" s="1">
        <v>2008</v>
      </c>
      <c r="B227" s="17">
        <v>6</v>
      </c>
      <c r="C227" s="15">
        <v>-8.4303600000000003</v>
      </c>
      <c r="D227" s="10">
        <v>-5.0610200000000001</v>
      </c>
      <c r="E227" s="10">
        <v>-20.699250000000003</v>
      </c>
      <c r="F227" s="10">
        <v>-16.34573</v>
      </c>
      <c r="G227" s="7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25">
      <c r="A228" s="1">
        <v>2008</v>
      </c>
      <c r="B228" s="17">
        <v>7</v>
      </c>
      <c r="C228" s="15">
        <v>-0.84062000000000003</v>
      </c>
      <c r="D228" s="10">
        <v>-1.9145700000000001</v>
      </c>
      <c r="E228" s="10">
        <v>-7.1146099999999999</v>
      </c>
      <c r="F228" s="10">
        <v>35.841320000000003</v>
      </c>
      <c r="G228" s="7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25">
      <c r="A229" s="1">
        <v>2008</v>
      </c>
      <c r="B229" s="17">
        <v>8</v>
      </c>
      <c r="C229" s="15">
        <v>1.4464699999999999</v>
      </c>
      <c r="D229" s="10">
        <v>-0.22658</v>
      </c>
      <c r="E229" s="10">
        <v>7.8365100000000005</v>
      </c>
      <c r="F229" s="10">
        <v>13.868829999999999</v>
      </c>
      <c r="G229" s="7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25">
      <c r="A230" s="1">
        <v>2008</v>
      </c>
      <c r="B230" s="17">
        <v>9</v>
      </c>
      <c r="C230" s="15">
        <v>-8.9107299999999992</v>
      </c>
      <c r="D230" s="10">
        <v>-5.24857</v>
      </c>
      <c r="E230" s="10">
        <v>-12.622880000000002</v>
      </c>
      <c r="F230" s="10">
        <v>-9.200470000000001</v>
      </c>
      <c r="G230" s="7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25">
      <c r="A231" s="1">
        <v>2008</v>
      </c>
      <c r="B231" s="17">
        <v>10</v>
      </c>
      <c r="C231" s="15">
        <v>-16.794789999999999</v>
      </c>
      <c r="D231" s="10">
        <v>-11.982260000000002</v>
      </c>
      <c r="E231" s="10">
        <v>-8.6963400000000011</v>
      </c>
      <c r="F231" s="10">
        <v>-26.836110000000001</v>
      </c>
      <c r="G231" s="7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25">
      <c r="A232" s="1">
        <v>2008</v>
      </c>
      <c r="B232" s="17">
        <v>11</v>
      </c>
      <c r="C232" s="15">
        <v>-7.1754600000000002</v>
      </c>
      <c r="D232" s="10">
        <v>-2.9501399999999998</v>
      </c>
      <c r="E232" s="10">
        <v>-18.013010000000001</v>
      </c>
      <c r="F232" s="10">
        <v>-20.321170000000002</v>
      </c>
      <c r="G232" s="7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25">
      <c r="A233" s="1">
        <v>2008</v>
      </c>
      <c r="B233" s="17">
        <v>12</v>
      </c>
      <c r="C233" s="15">
        <v>1.06403</v>
      </c>
      <c r="D233" s="10">
        <v>6.2598600000000006</v>
      </c>
      <c r="E233" s="10">
        <v>-6.1700000000000088E-3</v>
      </c>
      <c r="F233" s="10">
        <v>21.118269999999999</v>
      </c>
      <c r="G233" s="7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25">
      <c r="A234" s="1">
        <v>2009</v>
      </c>
      <c r="B234" s="17">
        <v>1</v>
      </c>
      <c r="C234" s="15">
        <v>-8.4286399999999997</v>
      </c>
      <c r="D234" s="10">
        <v>-5.8992800000000001</v>
      </c>
      <c r="E234" s="10">
        <v>-0.94368000000000007</v>
      </c>
      <c r="F234" s="10">
        <v>-4.1200999999999999</v>
      </c>
      <c r="G234" s="7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25">
      <c r="A235" s="1">
        <v>2009</v>
      </c>
      <c r="B235" s="17">
        <v>2</v>
      </c>
      <c r="C235" s="15">
        <v>-10.647779999999999</v>
      </c>
      <c r="D235" s="10">
        <v>-9.318500000000002</v>
      </c>
      <c r="E235" s="10">
        <v>-24.798650000000002</v>
      </c>
      <c r="F235" s="10">
        <v>-36.138389999999994</v>
      </c>
      <c r="G235" s="7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25">
      <c r="A236" s="1">
        <v>2009</v>
      </c>
      <c r="B236" s="17">
        <v>3</v>
      </c>
      <c r="C236" s="15">
        <v>8.7595200000000002</v>
      </c>
      <c r="D236" s="10">
        <v>-10.046520000000001</v>
      </c>
      <c r="E236" s="10">
        <v>13.067939999999998</v>
      </c>
      <c r="F236" s="10">
        <v>16.816779999999998</v>
      </c>
      <c r="G236" s="7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25">
      <c r="A237" s="1">
        <v>2009</v>
      </c>
      <c r="B237" s="17">
        <v>4</v>
      </c>
      <c r="C237" s="15">
        <v>9.5709400000000002</v>
      </c>
      <c r="D237" s="10">
        <v>4.3338900000000002</v>
      </c>
      <c r="E237" s="10">
        <v>12.463239999999999</v>
      </c>
      <c r="F237" s="10">
        <v>64.194050000000004</v>
      </c>
      <c r="G237" s="7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25">
      <c r="A238" s="1">
        <v>2009</v>
      </c>
      <c r="B238" s="17">
        <v>5</v>
      </c>
      <c r="C238" s="15">
        <v>5.5932899999999997</v>
      </c>
      <c r="D238" s="10">
        <v>1.3025799999999998</v>
      </c>
      <c r="E238" s="10">
        <v>12.933709999999998</v>
      </c>
      <c r="F238" s="10">
        <v>-4.6454599999999999</v>
      </c>
      <c r="G238" s="7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25">
      <c r="A239" s="1">
        <v>2009</v>
      </c>
      <c r="B239" s="17">
        <v>6</v>
      </c>
      <c r="C239" s="15">
        <v>0.19836000000000004</v>
      </c>
      <c r="D239" s="10">
        <v>9.5810899999999979</v>
      </c>
      <c r="E239" s="10">
        <v>-5.33969</v>
      </c>
      <c r="F239" s="10">
        <v>3.7690500000000005</v>
      </c>
      <c r="G239" s="7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25">
      <c r="A240" s="1">
        <v>2009</v>
      </c>
      <c r="B240" s="17">
        <v>7</v>
      </c>
      <c r="C240" s="15">
        <v>7.5637299999999987</v>
      </c>
      <c r="D240" s="10">
        <v>7.0651100000000007</v>
      </c>
      <c r="E240" s="10">
        <v>0.86470999999999987</v>
      </c>
      <c r="F240" s="10">
        <v>11.003149999999998</v>
      </c>
      <c r="G240" s="7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25">
      <c r="A241" s="1">
        <v>2009</v>
      </c>
      <c r="B241" s="17">
        <v>8</v>
      </c>
      <c r="C241" s="15">
        <v>3.61</v>
      </c>
      <c r="D241" s="10">
        <v>2.7423800000000003</v>
      </c>
      <c r="E241" s="10">
        <v>16.6327</v>
      </c>
      <c r="F241" s="10">
        <v>-2.5500299999999996</v>
      </c>
      <c r="G241" s="7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25">
      <c r="A242" s="1">
        <v>2009</v>
      </c>
      <c r="B242" s="17">
        <v>9</v>
      </c>
      <c r="C242" s="15">
        <v>3.73</v>
      </c>
      <c r="D242" s="10">
        <v>-1.4999400000000001</v>
      </c>
      <c r="E242" s="10">
        <v>8.9195299999999982</v>
      </c>
      <c r="F242" s="10">
        <v>9.4175199999999979</v>
      </c>
      <c r="G242" s="7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25">
      <c r="A243" s="1">
        <v>2009</v>
      </c>
      <c r="B243" s="17">
        <v>10</v>
      </c>
      <c r="C243" s="15">
        <v>-1.8599999999999999</v>
      </c>
      <c r="D243" s="10">
        <v>-2.5846699999999996</v>
      </c>
      <c r="E243" s="10">
        <v>-11.826690000000001</v>
      </c>
      <c r="F243" s="10">
        <v>1.8311999999999999</v>
      </c>
      <c r="G243" s="7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25">
      <c r="A244" s="1">
        <v>2009</v>
      </c>
      <c r="B244" s="17">
        <v>11</v>
      </c>
      <c r="C244" s="15">
        <v>6</v>
      </c>
      <c r="D244" s="10">
        <v>7.7755800000000006</v>
      </c>
      <c r="E244" s="10">
        <v>10.423009999999998</v>
      </c>
      <c r="F244" s="10">
        <v>13.043869999999998</v>
      </c>
      <c r="G244" s="7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25">
      <c r="A245" s="1">
        <v>2009</v>
      </c>
      <c r="B245" s="17">
        <v>12</v>
      </c>
      <c r="C245" s="15">
        <v>1.9300000000000002</v>
      </c>
      <c r="D245" s="10">
        <v>7.9770399999999997</v>
      </c>
      <c r="E245" s="10">
        <v>3.1818200000000005</v>
      </c>
      <c r="F245" s="10">
        <v>3.2934300000000003</v>
      </c>
      <c r="G245" s="7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6B36F-5FD6-4346-877E-FC3388DF9639}">
  <sheetPr codeName="Sheet4"/>
  <dimension ref="A1:J101"/>
  <sheetViews>
    <sheetView showGridLines="0" workbookViewId="0">
      <selection activeCell="D36" sqref="D36"/>
    </sheetView>
  </sheetViews>
  <sheetFormatPr defaultRowHeight="13.2" x14ac:dyDescent="0.25"/>
  <cols>
    <col min="1" max="2" width="10.5546875" customWidth="1"/>
    <col min="3" max="3" width="17.77734375" style="19" customWidth="1"/>
    <col min="4" max="4" width="18.6640625" style="19" customWidth="1"/>
    <col min="7" max="7" width="21.88671875" customWidth="1"/>
  </cols>
  <sheetData>
    <row r="1" spans="1:10" x14ac:dyDescent="0.25">
      <c r="A1" s="36" t="s">
        <v>35</v>
      </c>
      <c r="B1" s="36" t="s">
        <v>36</v>
      </c>
      <c r="C1" s="38" t="s">
        <v>29</v>
      </c>
      <c r="D1" s="38" t="s">
        <v>38</v>
      </c>
    </row>
    <row r="2" spans="1:10" x14ac:dyDescent="0.25">
      <c r="A2" s="42">
        <v>0.01</v>
      </c>
      <c r="B2" s="42">
        <f>1-Table1[[#This Row],[W1]]</f>
        <v>0.99</v>
      </c>
      <c r="C2" s="19">
        <f>SQRT(Table1[[#This Row],[W1]]*Table1[[#This Row],[W1]]*$H$5*$H$5+Table1[[#This Row],[W2]]*Table1[[#This Row],[W2]]*$H$8*$H$8+2*Table1[[#This Row],[W1]]*Table1[[#This Row],[W2]]*$H$5*$H$8*$H$10)</f>
        <v>8.162371083816307</v>
      </c>
      <c r="D2" s="19">
        <f>Table1[[#This Row],[W1]]*$H$4+Table1[[#This Row],[W2]]*$H$7</f>
        <v>0.82291446833333293</v>
      </c>
      <c r="G2" s="36" t="s">
        <v>30</v>
      </c>
    </row>
    <row r="3" spans="1:10" x14ac:dyDescent="0.25">
      <c r="A3" s="42">
        <v>0.02</v>
      </c>
      <c r="B3" s="42">
        <f>1-Table1[[#This Row],[W1]]</f>
        <v>0.98</v>
      </c>
      <c r="C3" s="19">
        <f>SQRT(Table1[[#This Row],[W1]]*Table1[[#This Row],[W1]]*$H$5*$H$5+Table1[[#This Row],[W2]]*Table1[[#This Row],[W2]]*$H$8*$H$8+2*Table1[[#This Row],[W1]]*Table1[[#This Row],[W2]]*$H$5*$H$8*$H$10)</f>
        <v>8.0982460573858628</v>
      </c>
      <c r="D3" s="19">
        <f>Table1[[#This Row],[W1]]*$H$4+Table1[[#This Row],[W2]]*$H$7</f>
        <v>0.82048960333333287</v>
      </c>
      <c r="G3" s="37" t="s">
        <v>31</v>
      </c>
      <c r="J3" s="37"/>
    </row>
    <row r="4" spans="1:10" x14ac:dyDescent="0.25">
      <c r="A4" s="42">
        <v>0.03</v>
      </c>
      <c r="B4" s="42">
        <f>1-Table1[[#This Row],[W1]]</f>
        <v>0.97</v>
      </c>
      <c r="C4" s="19">
        <f>SQRT(Table1[[#This Row],[W1]]*Table1[[#This Row],[W1]]*$H$5*$H$5+Table1[[#This Row],[W2]]*Table1[[#This Row],[W2]]*$H$8*$H$8+2*Table1[[#This Row],[W1]]*Table1[[#This Row],[W2]]*$H$5*$H$8*$H$10)</f>
        <v>8.0345083563298392</v>
      </c>
      <c r="D4" s="19">
        <f>Table1[[#This Row],[W1]]*$H$4+Table1[[#This Row],[W2]]*$H$7</f>
        <v>0.81806473833333282</v>
      </c>
      <c r="G4" s="36" t="s">
        <v>32</v>
      </c>
      <c r="H4" s="41">
        <f>'Step1 '!E1</f>
        <v>0.58285283333333349</v>
      </c>
    </row>
    <row r="5" spans="1:10" x14ac:dyDescent="0.25">
      <c r="A5" s="42">
        <v>0.04</v>
      </c>
      <c r="B5" s="42">
        <f>1-Table1[[#This Row],[W1]]</f>
        <v>0.96</v>
      </c>
      <c r="C5" s="19">
        <f>SQRT(Table1[[#This Row],[W1]]*Table1[[#This Row],[W1]]*$H$5*$H$5+Table1[[#This Row],[W2]]*Table1[[#This Row],[W2]]*$H$8*$H$8+2*Table1[[#This Row],[W1]]*Table1[[#This Row],[W2]]*$H$5*$H$8*$H$10)</f>
        <v>7.9711672718508186</v>
      </c>
      <c r="D5" s="19">
        <f>Table1[[#This Row],[W1]]*$H$4+Table1[[#This Row],[W2]]*$H$7</f>
        <v>0.81563987333333288</v>
      </c>
      <c r="G5" s="36" t="s">
        <v>33</v>
      </c>
      <c r="H5" s="41">
        <f>'Step1 '!E2</f>
        <v>5.7863777419146514</v>
      </c>
    </row>
    <row r="6" spans="1:10" x14ac:dyDescent="0.25">
      <c r="A6" s="42">
        <v>0.05</v>
      </c>
      <c r="B6" s="42">
        <f>1-Table1[[#This Row],[W1]]</f>
        <v>0.95</v>
      </c>
      <c r="C6" s="19">
        <f>SQRT(Table1[[#This Row],[W1]]*Table1[[#This Row],[W1]]*$H$5*$H$5+Table1[[#This Row],[W2]]*Table1[[#This Row],[W2]]*$H$8*$H$8+2*Table1[[#This Row],[W1]]*Table1[[#This Row],[W2]]*$H$5*$H$8*$H$10)</f>
        <v>7.9082323340706475</v>
      </c>
      <c r="D6" s="19">
        <f>Table1[[#This Row],[W1]]*$H$4+Table1[[#This Row],[W2]]*$H$7</f>
        <v>0.81321500833333293</v>
      </c>
      <c r="G6" s="37" t="s">
        <v>34</v>
      </c>
    </row>
    <row r="7" spans="1:10" x14ac:dyDescent="0.25">
      <c r="A7" s="42">
        <v>0.06</v>
      </c>
      <c r="B7" s="42">
        <f>1-Table1[[#This Row],[W1]]</f>
        <v>0.94</v>
      </c>
      <c r="C7" s="19">
        <f>SQRT(Table1[[#This Row],[W1]]*Table1[[#This Row],[W1]]*$H$5*$H$5+Table1[[#This Row],[W2]]*Table1[[#This Row],[W2]]*$H$8*$H$8+2*Table1[[#This Row],[W1]]*Table1[[#This Row],[W2]]*$H$5*$H$8*$H$10)</f>
        <v>7.8457133167978172</v>
      </c>
      <c r="D7" s="19">
        <f>Table1[[#This Row],[W1]]*$H$4+Table1[[#This Row],[W2]]*$H$7</f>
        <v>0.81079014333333288</v>
      </c>
      <c r="G7" s="36" t="s">
        <v>32</v>
      </c>
      <c r="H7" s="41">
        <f>'Step1 '!F1</f>
        <v>0.82533933333333287</v>
      </c>
    </row>
    <row r="8" spans="1:10" x14ac:dyDescent="0.25">
      <c r="A8" s="42">
        <v>7.0000000000000007E-2</v>
      </c>
      <c r="B8" s="42">
        <f>1-Table1[[#This Row],[W1]]</f>
        <v>0.92999999999999994</v>
      </c>
      <c r="C8" s="19">
        <f>SQRT(Table1[[#This Row],[W1]]*Table1[[#This Row],[W1]]*$H$5*$H$5+Table1[[#This Row],[W2]]*Table1[[#This Row],[W2]]*$H$8*$H$8+2*Table1[[#This Row],[W1]]*Table1[[#This Row],[W2]]*$H$5*$H$8*$H$10)</f>
        <v>7.7836202422163421</v>
      </c>
      <c r="D8" s="19">
        <f>Table1[[#This Row],[W1]]*$H$4+Table1[[#This Row],[W2]]*$H$7</f>
        <v>0.80836527833333283</v>
      </c>
      <c r="G8" s="36" t="s">
        <v>33</v>
      </c>
      <c r="H8" s="41">
        <f>'Step1 '!F2</f>
        <v>8.22687437851088</v>
      </c>
    </row>
    <row r="9" spans="1:10" x14ac:dyDescent="0.25">
      <c r="A9" s="42">
        <v>0.08</v>
      </c>
      <c r="B9" s="42">
        <f>1-Table1[[#This Row],[W1]]</f>
        <v>0.92</v>
      </c>
      <c r="C9" s="19">
        <f>SQRT(Table1[[#This Row],[W1]]*Table1[[#This Row],[W1]]*$H$5*$H$5+Table1[[#This Row],[W2]]*Table1[[#This Row],[W2]]*$H$8*$H$8+2*Table1[[#This Row],[W1]]*Table1[[#This Row],[W2]]*$H$5*$H$8*$H$10)</f>
        <v>7.7219633854755267</v>
      </c>
      <c r="D9" s="19">
        <f>Table1[[#This Row],[W1]]*$H$4+Table1[[#This Row],[W2]]*$H$7</f>
        <v>0.80594041333333288</v>
      </c>
    </row>
    <row r="10" spans="1:10" x14ac:dyDescent="0.25">
      <c r="A10" s="42">
        <v>0.09</v>
      </c>
      <c r="B10" s="42">
        <f>1-Table1[[#This Row],[W1]]</f>
        <v>0.91</v>
      </c>
      <c r="C10" s="19">
        <f>SQRT(Table1[[#This Row],[W1]]*Table1[[#This Row],[W1]]*$H$5*$H$5+Table1[[#This Row],[W2]]*Table1[[#This Row],[W2]]*$H$8*$H$8+2*Table1[[#This Row],[W1]]*Table1[[#This Row],[W2]]*$H$5*$H$8*$H$10)</f>
        <v>7.6607532791581647</v>
      </c>
      <c r="D10" s="19">
        <f>Table1[[#This Row],[W1]]*$H$4+Table1[[#This Row],[W2]]*$H$7</f>
        <v>0.80351554833333294</v>
      </c>
      <c r="G10" s="37" t="s">
        <v>37</v>
      </c>
      <c r="H10" s="19">
        <f>'Step2.Correlation.Calc'!B2</f>
        <v>0.30380450826180033</v>
      </c>
    </row>
    <row r="11" spans="1:10" x14ac:dyDescent="0.25">
      <c r="A11" s="42">
        <v>0.1</v>
      </c>
      <c r="B11" s="42">
        <f>1-Table1[[#This Row],[W1]]</f>
        <v>0.9</v>
      </c>
      <c r="C11" s="19">
        <f>SQRT(Table1[[#This Row],[W1]]*Table1[[#This Row],[W1]]*$H$5*$H$5+Table1[[#This Row],[W2]]*Table1[[#This Row],[W2]]*$H$8*$H$8+2*Table1[[#This Row],[W1]]*Table1[[#This Row],[W2]]*$H$5*$H$8*$H$10)</f>
        <v>7.6000007176028435</v>
      </c>
      <c r="D11" s="19">
        <f>Table1[[#This Row],[W1]]*$H$4+Table1[[#This Row],[W2]]*$H$7</f>
        <v>0.801090683333333</v>
      </c>
    </row>
    <row r="12" spans="1:10" x14ac:dyDescent="0.25">
      <c r="A12" s="42">
        <v>0.11</v>
      </c>
      <c r="B12" s="42">
        <f>1-Table1[[#This Row],[W1]]</f>
        <v>0.89</v>
      </c>
      <c r="C12" s="19">
        <f>SQRT(Table1[[#This Row],[W1]]*Table1[[#This Row],[W1]]*$H$5*$H$5+Table1[[#This Row],[W2]]*Table1[[#This Row],[W2]]*$H$8*$H$8+2*Table1[[#This Row],[W1]]*Table1[[#This Row],[W2]]*$H$5*$H$8*$H$10)</f>
        <v>7.5397167610539695</v>
      </c>
      <c r="D12" s="19">
        <f>Table1[[#This Row],[W1]]*$H$4+Table1[[#This Row],[W2]]*$H$7</f>
        <v>0.79866581833333306</v>
      </c>
    </row>
    <row r="13" spans="1:10" x14ac:dyDescent="0.25">
      <c r="A13" s="42">
        <v>0.12</v>
      </c>
      <c r="B13" s="42">
        <f>1-Table1[[#This Row],[W1]]</f>
        <v>0.88</v>
      </c>
      <c r="C13" s="19">
        <f>SQRT(Table1[[#This Row],[W1]]*Table1[[#This Row],[W1]]*$H$5*$H$5+Table1[[#This Row],[W2]]*Table1[[#This Row],[W2]]*$H$8*$H$8+2*Table1[[#This Row],[W1]]*Table1[[#This Row],[W2]]*$H$5*$H$8*$H$10)</f>
        <v>7.4799127396110618</v>
      </c>
      <c r="D13" s="19">
        <f>Table1[[#This Row],[W1]]*$H$4+Table1[[#This Row],[W2]]*$H$7</f>
        <v>0.79624095333333289</v>
      </c>
    </row>
    <row r="14" spans="1:10" x14ac:dyDescent="0.25">
      <c r="A14" s="42">
        <v>0.13</v>
      </c>
      <c r="B14" s="42">
        <f>1-Table1[[#This Row],[W1]]</f>
        <v>0.87</v>
      </c>
      <c r="C14" s="19">
        <f>SQRT(Table1[[#This Row],[W1]]*Table1[[#This Row],[W1]]*$H$5*$H$5+Table1[[#This Row],[W2]]*Table1[[#This Row],[W2]]*$H$8*$H$8+2*Table1[[#This Row],[W1]]*Table1[[#This Row],[W2]]*$H$5*$H$8*$H$10)</f>
        <v>7.4206002569466589</v>
      </c>
      <c r="D14" s="19">
        <f>Table1[[#This Row],[W1]]*$H$4+Table1[[#This Row],[W2]]*$H$7</f>
        <v>0.79381608833333295</v>
      </c>
    </row>
    <row r="15" spans="1:10" x14ac:dyDescent="0.25">
      <c r="A15" s="42">
        <v>0.14000000000000001</v>
      </c>
      <c r="B15" s="42">
        <f>1-Table1[[#This Row],[W1]]</f>
        <v>0.86</v>
      </c>
      <c r="C15" s="19">
        <f>SQRT(Table1[[#This Row],[W1]]*Table1[[#This Row],[W1]]*$H$5*$H$5+Table1[[#This Row],[W2]]*Table1[[#This Row],[W2]]*$H$8*$H$8+2*Table1[[#This Row],[W1]]*Table1[[#This Row],[W2]]*$H$5*$H$8*$H$10)</f>
        <v>7.361791193759915</v>
      </c>
      <c r="D15" s="19">
        <f>Table1[[#This Row],[W1]]*$H$4+Table1[[#This Row],[W2]]*$H$7</f>
        <v>0.791391223333333</v>
      </c>
    </row>
    <row r="16" spans="1:10" x14ac:dyDescent="0.25">
      <c r="A16" s="42">
        <v>0.15</v>
      </c>
      <c r="B16" s="42">
        <f>1-Table1[[#This Row],[W1]]</f>
        <v>0.85</v>
      </c>
      <c r="C16" s="19">
        <f>SQRT(Table1[[#This Row],[W1]]*Table1[[#This Row],[W1]]*$H$5*$H$5+Table1[[#This Row],[W2]]*Table1[[#This Row],[W2]]*$H$8*$H$8+2*Table1[[#This Row],[W1]]*Table1[[#This Row],[W2]]*$H$5*$H$8*$H$10)</f>
        <v>7.3034977109305999</v>
      </c>
      <c r="D16" s="19">
        <f>Table1[[#This Row],[W1]]*$H$4+Table1[[#This Row],[W2]]*$H$7</f>
        <v>0.78896635833333284</v>
      </c>
    </row>
    <row r="17" spans="1:4" x14ac:dyDescent="0.25">
      <c r="A17" s="42">
        <v>0.16</v>
      </c>
      <c r="B17" s="42">
        <f>1-Table1[[#This Row],[W1]]</f>
        <v>0.84</v>
      </c>
      <c r="C17" s="19">
        <f>SQRT(Table1[[#This Row],[W1]]*Table1[[#This Row],[W1]]*$H$5*$H$5+Table1[[#This Row],[W2]]*Table1[[#This Row],[W2]]*$H$8*$H$8+2*Table1[[#This Row],[W1]]*Table1[[#This Row],[W2]]*$H$5*$H$8*$H$10)</f>
        <v>7.2457322523358023</v>
      </c>
      <c r="D17" s="19">
        <f>Table1[[#This Row],[W1]]*$H$4+Table1[[#This Row],[W2]]*$H$7</f>
        <v>0.7865414933333329</v>
      </c>
    </row>
    <row r="18" spans="1:4" x14ac:dyDescent="0.25">
      <c r="A18" s="42">
        <v>0.17</v>
      </c>
      <c r="B18" s="42">
        <f>1-Table1[[#This Row],[W1]]</f>
        <v>0.83</v>
      </c>
      <c r="C18" s="19">
        <f>SQRT(Table1[[#This Row],[W1]]*Table1[[#This Row],[W1]]*$H$5*$H$5+Table1[[#This Row],[W2]]*Table1[[#This Row],[W2]]*$H$8*$H$8+2*Table1[[#This Row],[W1]]*Table1[[#This Row],[W2]]*$H$5*$H$8*$H$10)</f>
        <v>7.1885075472891629</v>
      </c>
      <c r="D18" s="19">
        <f>Table1[[#This Row],[W1]]*$H$4+Table1[[#This Row],[W2]]*$H$7</f>
        <v>0.78411662833333295</v>
      </c>
    </row>
    <row r="19" spans="1:4" x14ac:dyDescent="0.25">
      <c r="A19" s="42">
        <v>0.18</v>
      </c>
      <c r="B19" s="42">
        <f>1-Table1[[#This Row],[W1]]</f>
        <v>0.82000000000000006</v>
      </c>
      <c r="C19" s="19">
        <f>SQRT(Table1[[#This Row],[W1]]*Table1[[#This Row],[W1]]*$H$5*$H$5+Table1[[#This Row],[W2]]*Table1[[#This Row],[W2]]*$H$8*$H$8+2*Table1[[#This Row],[W1]]*Table1[[#This Row],[W2]]*$H$5*$H$8*$H$10)</f>
        <v>7.1318366125599457</v>
      </c>
      <c r="D19" s="19">
        <f>Table1[[#This Row],[W1]]*$H$4+Table1[[#This Row],[W2]]*$H$7</f>
        <v>0.78169176333333301</v>
      </c>
    </row>
    <row r="20" spans="1:4" x14ac:dyDescent="0.25">
      <c r="A20" s="42">
        <v>0.19</v>
      </c>
      <c r="B20" s="42">
        <f>1-Table1[[#This Row],[W1]]</f>
        <v>0.81</v>
      </c>
      <c r="C20" s="19">
        <f>SQRT(Table1[[#This Row],[W1]]*Table1[[#This Row],[W1]]*$H$5*$H$5+Table1[[#This Row],[W2]]*Table1[[#This Row],[W2]]*$H$8*$H$8+2*Table1[[#This Row],[W1]]*Table1[[#This Row],[W2]]*$H$5*$H$8*$H$10)</f>
        <v>7.0757327539266957</v>
      </c>
      <c r="D20" s="19">
        <f>Table1[[#This Row],[W1]]*$H$4+Table1[[#This Row],[W2]]*$H$7</f>
        <v>0.77926689833333307</v>
      </c>
    </row>
    <row r="21" spans="1:4" x14ac:dyDescent="0.25">
      <c r="A21" s="42">
        <v>0.2</v>
      </c>
      <c r="B21" s="42">
        <f>1-Table1[[#This Row],[W1]]</f>
        <v>0.8</v>
      </c>
      <c r="C21" s="19">
        <f>SQRT(Table1[[#This Row],[W1]]*Table1[[#This Row],[W1]]*$H$5*$H$5+Table1[[#This Row],[W2]]*Table1[[#This Row],[W2]]*$H$8*$H$8+2*Table1[[#This Row],[W1]]*Table1[[#This Row],[W2]]*$H$5*$H$8*$H$10)</f>
        <v>7.0202095672176945</v>
      </c>
      <c r="D21" s="19">
        <f>Table1[[#This Row],[W1]]*$H$4+Table1[[#This Row],[W2]]*$H$7</f>
        <v>0.77684203333333302</v>
      </c>
    </row>
    <row r="22" spans="1:4" x14ac:dyDescent="0.25">
      <c r="A22" s="42">
        <v>0.21</v>
      </c>
      <c r="B22" s="43">
        <f>1-Table1[[#This Row],[W1]]</f>
        <v>0.79</v>
      </c>
      <c r="C22" s="19">
        <f>SQRT(Table1[[#This Row],[W1]]*Table1[[#This Row],[W1]]*$H$5*$H$5+Table1[[#This Row],[W2]]*Table1[[#This Row],[W2]]*$H$8*$H$8+2*Table1[[#This Row],[W1]]*Table1[[#This Row],[W2]]*$H$5*$H$8*$H$10)</f>
        <v>6.9652809387878891</v>
      </c>
      <c r="D22" s="19">
        <f>Table1[[#This Row],[W1]]*$H$4+Table1[[#This Row],[W2]]*$H$7</f>
        <v>0.77441716833333296</v>
      </c>
    </row>
    <row r="23" spans="1:4" x14ac:dyDescent="0.25">
      <c r="A23" s="42">
        <v>0.22</v>
      </c>
      <c r="B23" s="43">
        <f>1-Table1[[#This Row],[W1]]</f>
        <v>0.78</v>
      </c>
      <c r="C23" s="19">
        <f>SQRT(Table1[[#This Row],[W1]]*Table1[[#This Row],[W1]]*$H$5*$H$5+Table1[[#This Row],[W2]]*Table1[[#This Row],[W2]]*$H$8*$H$8+2*Table1[[#This Row],[W1]]*Table1[[#This Row],[W2]]*$H$5*$H$8*$H$10)</f>
        <v>6.9109610453794481</v>
      </c>
      <c r="D23" s="19">
        <f>Table1[[#This Row],[W1]]*$H$4+Table1[[#This Row],[W2]]*$H$7</f>
        <v>0.77199230333333302</v>
      </c>
    </row>
    <row r="24" spans="1:4" x14ac:dyDescent="0.25">
      <c r="A24" s="42">
        <v>0.23</v>
      </c>
      <c r="B24" s="43">
        <f>1-Table1[[#This Row],[W1]]</f>
        <v>0.77</v>
      </c>
      <c r="C24" s="19">
        <f>SQRT(Table1[[#This Row],[W1]]*Table1[[#This Row],[W1]]*$H$5*$H$5+Table1[[#This Row],[W2]]*Table1[[#This Row],[W2]]*$H$8*$H$8+2*Table1[[#This Row],[W1]]*Table1[[#This Row],[W2]]*$H$5*$H$8*$H$10)</f>
        <v>6.8572643533107112</v>
      </c>
      <c r="D24" s="19">
        <f>Table1[[#This Row],[W1]]*$H$4+Table1[[#This Row],[W2]]*$H$7</f>
        <v>0.76956743833333308</v>
      </c>
    </row>
    <row r="25" spans="1:4" x14ac:dyDescent="0.25">
      <c r="A25" s="42">
        <v>0.24</v>
      </c>
      <c r="B25" s="43">
        <f>1-Table1[[#This Row],[W1]]</f>
        <v>0.76</v>
      </c>
      <c r="C25" s="19">
        <f>SQRT(Table1[[#This Row],[W1]]*Table1[[#This Row],[W1]]*$H$5*$H$5+Table1[[#This Row],[W2]]*Table1[[#This Row],[W2]]*$H$8*$H$8+2*Table1[[#This Row],[W1]]*Table1[[#This Row],[W2]]*$H$5*$H$8*$H$10)</f>
        <v>6.8042056169359411</v>
      </c>
      <c r="D25" s="19">
        <f>Table1[[#This Row],[W1]]*$H$4+Table1[[#This Row],[W2]]*$H$7</f>
        <v>0.76714257333333302</v>
      </c>
    </row>
    <row r="26" spans="1:4" x14ac:dyDescent="0.25">
      <c r="A26" s="42">
        <v>0.25</v>
      </c>
      <c r="B26" s="43">
        <f>1-Table1[[#This Row],[W1]]</f>
        <v>0.75</v>
      </c>
      <c r="C26" s="19">
        <f>SQRT(Table1[[#This Row],[W1]]*Table1[[#This Row],[W1]]*$H$5*$H$5+Table1[[#This Row],[W2]]*Table1[[#This Row],[W2]]*$H$8*$H$8+2*Table1[[#This Row],[W1]]*Table1[[#This Row],[W2]]*$H$5*$H$8*$H$10)</f>
        <v>6.7517998763161442</v>
      </c>
      <c r="D26" s="19">
        <f>Table1[[#This Row],[W1]]*$H$4+Table1[[#This Row],[W2]]*$H$7</f>
        <v>0.76471770833333297</v>
      </c>
    </row>
    <row r="27" spans="1:4" x14ac:dyDescent="0.25">
      <c r="A27" s="42">
        <v>0.26</v>
      </c>
      <c r="B27" s="43">
        <f>1-Table1[[#This Row],[W1]]</f>
        <v>0.74</v>
      </c>
      <c r="C27" s="19">
        <f>SQRT(Table1[[#This Row],[W1]]*Table1[[#This Row],[W1]]*$H$5*$H$5+Table1[[#This Row],[W2]]*Table1[[#This Row],[W2]]*$H$8*$H$8+2*Table1[[#This Row],[W1]]*Table1[[#This Row],[W2]]*$H$5*$H$8*$H$10)</f>
        <v>6.7000624540392195</v>
      </c>
      <c r="D27" s="19">
        <f>Table1[[#This Row],[W1]]*$H$4+Table1[[#This Row],[W2]]*$H$7</f>
        <v>0.76229284333333303</v>
      </c>
    </row>
    <row r="28" spans="1:4" x14ac:dyDescent="0.25">
      <c r="A28" s="42">
        <v>0.27</v>
      </c>
      <c r="B28" s="43">
        <f>1-Table1[[#This Row],[W1]]</f>
        <v>0.73</v>
      </c>
      <c r="C28" s="19">
        <f>SQRT(Table1[[#This Row],[W1]]*Table1[[#This Row],[W1]]*$H$5*$H$5+Table1[[#This Row],[W2]]*Table1[[#This Row],[W2]]*$H$8*$H$8+2*Table1[[#This Row],[W1]]*Table1[[#This Row],[W2]]*$H$5*$H$8*$H$10)</f>
        <v>6.6490089511259249</v>
      </c>
      <c r="D28" s="19">
        <f>Table1[[#This Row],[W1]]*$H$4+Table1[[#This Row],[W2]]*$H$7</f>
        <v>0.75986797833333308</v>
      </c>
    </row>
    <row r="29" spans="1:4" x14ac:dyDescent="0.25">
      <c r="A29" s="42">
        <v>0.28000000000000003</v>
      </c>
      <c r="B29" s="43">
        <f>1-Table1[[#This Row],[W1]]</f>
        <v>0.72</v>
      </c>
      <c r="C29" s="19">
        <f>SQRT(Table1[[#This Row],[W1]]*Table1[[#This Row],[W1]]*$H$5*$H$5+Table1[[#This Row],[W2]]*Table1[[#This Row],[W2]]*$H$8*$H$8+2*Table1[[#This Row],[W1]]*Table1[[#This Row],[W2]]*$H$5*$H$8*$H$10)</f>
        <v>6.5986552419566937</v>
      </c>
      <c r="D29" s="19">
        <f>Table1[[#This Row],[W1]]*$H$4+Table1[[#This Row],[W2]]*$H$7</f>
        <v>0.75744311333333303</v>
      </c>
    </row>
    <row r="30" spans="1:4" x14ac:dyDescent="0.25">
      <c r="A30" s="42">
        <v>0.28999999999999998</v>
      </c>
      <c r="B30" s="43">
        <f>1-Table1[[#This Row],[W1]]</f>
        <v>0.71</v>
      </c>
      <c r="C30" s="19">
        <f>SQRT(Table1[[#This Row],[W1]]*Table1[[#This Row],[W1]]*$H$5*$H$5+Table1[[#This Row],[W2]]*Table1[[#This Row],[W2]]*$H$8*$H$8+2*Table1[[#This Row],[W1]]*Table1[[#This Row],[W2]]*$H$5*$H$8*$H$10)</f>
        <v>6.5490174681531963</v>
      </c>
      <c r="D30" s="19">
        <f>Table1[[#This Row],[W1]]*$H$4+Table1[[#This Row],[W2]]*$H$7</f>
        <v>0.75501824833333298</v>
      </c>
    </row>
    <row r="31" spans="1:4" x14ac:dyDescent="0.25">
      <c r="A31" s="42">
        <v>0.3</v>
      </c>
      <c r="B31" s="43">
        <f>1-Table1[[#This Row],[W1]]</f>
        <v>0.7</v>
      </c>
      <c r="C31" s="19">
        <f>SQRT(Table1[[#This Row],[W1]]*Table1[[#This Row],[W1]]*$H$5*$H$5+Table1[[#This Row],[W2]]*Table1[[#This Row],[W2]]*$H$8*$H$8+2*Table1[[#This Row],[W1]]*Table1[[#This Row],[W2]]*$H$5*$H$8*$H$10)</f>
        <v>6.5001120313477747</v>
      </c>
      <c r="D31" s="19">
        <f>Table1[[#This Row],[W1]]*$H$4+Table1[[#This Row],[W2]]*$H$7</f>
        <v>0.75259338333333303</v>
      </c>
    </row>
    <row r="32" spans="1:4" x14ac:dyDescent="0.25">
      <c r="A32" s="42">
        <v>0.31</v>
      </c>
      <c r="B32" s="43">
        <f>1-Table1[[#This Row],[W1]]</f>
        <v>0.69</v>
      </c>
      <c r="C32" s="19">
        <f>SQRT(Table1[[#This Row],[W1]]*Table1[[#This Row],[W1]]*$H$5*$H$5+Table1[[#This Row],[W2]]*Table1[[#This Row],[W2]]*$H$8*$H$8+2*Table1[[#This Row],[W1]]*Table1[[#This Row],[W2]]*$H$5*$H$8*$H$10)</f>
        <v>6.4519555847736401</v>
      </c>
      <c r="D32" s="19">
        <f>Table1[[#This Row],[W1]]*$H$4+Table1[[#This Row],[W2]]*$H$7</f>
        <v>0.75016851833333298</v>
      </c>
    </row>
    <row r="33" spans="1:4" x14ac:dyDescent="0.25">
      <c r="A33" s="42">
        <v>0.32</v>
      </c>
      <c r="B33" s="43">
        <f>1-Table1[[#This Row],[W1]]</f>
        <v>0.67999999999999994</v>
      </c>
      <c r="C33" s="19">
        <f>SQRT(Table1[[#This Row],[W1]]*Table1[[#This Row],[W1]]*$H$5*$H$5+Table1[[#This Row],[W2]]*Table1[[#This Row],[W2]]*$H$8*$H$8+2*Table1[[#This Row],[W1]]*Table1[[#This Row],[W2]]*$H$5*$H$8*$H$10)</f>
        <v>6.4045650236089173</v>
      </c>
      <c r="D33" s="19">
        <f>Table1[[#This Row],[W1]]*$H$4+Table1[[#This Row],[W2]]*$H$7</f>
        <v>0.74774365333333304</v>
      </c>
    </row>
    <row r="34" spans="1:4" x14ac:dyDescent="0.25">
      <c r="A34" s="42">
        <v>0.33</v>
      </c>
      <c r="B34" s="43">
        <f>1-Table1[[#This Row],[W1]]</f>
        <v>0.66999999999999993</v>
      </c>
      <c r="C34" s="19">
        <f>SQRT(Table1[[#This Row],[W1]]*Table1[[#This Row],[W1]]*$H$5*$H$5+Table1[[#This Row],[W2]]*Table1[[#This Row],[W2]]*$H$8*$H$8+2*Table1[[#This Row],[W1]]*Table1[[#This Row],[W2]]*$H$5*$H$8*$H$10)</f>
        <v>6.3579574740085256</v>
      </c>
      <c r="D34" s="19">
        <f>Table1[[#This Row],[W1]]*$H$4+Table1[[#This Row],[W2]]*$H$7</f>
        <v>0.74531878833333298</v>
      </c>
    </row>
    <row r="35" spans="1:4" x14ac:dyDescent="0.25">
      <c r="A35" s="42">
        <v>0.34</v>
      </c>
      <c r="B35" s="43">
        <f>1-Table1[[#This Row],[W1]]</f>
        <v>0.65999999999999992</v>
      </c>
      <c r="C35" s="19">
        <f>SQRT(Table1[[#This Row],[W1]]*Table1[[#This Row],[W1]]*$H$5*$H$5+Table1[[#This Row],[W2]]*Table1[[#This Row],[W2]]*$H$8*$H$8+2*Table1[[#This Row],[W1]]*Table1[[#This Row],[W2]]*$H$5*$H$8*$H$10)</f>
        <v>6.3121502807593481</v>
      </c>
      <c r="D35" s="19">
        <f>Table1[[#This Row],[W1]]*$H$4+Table1[[#This Row],[W2]]*$H$7</f>
        <v>0.74289392333333304</v>
      </c>
    </row>
    <row r="36" spans="1:4" x14ac:dyDescent="0.25">
      <c r="A36" s="42">
        <v>0.35</v>
      </c>
      <c r="B36" s="43">
        <f>1-Table1[[#This Row],[W1]]</f>
        <v>0.65</v>
      </c>
      <c r="C36" s="19">
        <f>SQRT(Table1[[#This Row],[W1]]*Table1[[#This Row],[W1]]*$H$5*$H$5+Table1[[#This Row],[W2]]*Table1[[#This Row],[W2]]*$H$8*$H$8+2*Table1[[#This Row],[W1]]*Table1[[#This Row],[W2]]*$H$5*$H$8*$H$10)</f>
        <v>6.2671609934964208</v>
      </c>
      <c r="D36" s="19">
        <f>Table1[[#This Row],[W1]]*$H$4+Table1[[#This Row],[W2]]*$H$7</f>
        <v>0.7404690583333331</v>
      </c>
    </row>
    <row r="37" spans="1:4" x14ac:dyDescent="0.25">
      <c r="A37" s="42">
        <v>0.36</v>
      </c>
      <c r="B37" s="43">
        <f>1-Table1[[#This Row],[W1]]</f>
        <v>0.64</v>
      </c>
      <c r="C37" s="19">
        <f>SQRT(Table1[[#This Row],[W1]]*Table1[[#This Row],[W1]]*$H$5*$H$5+Table1[[#This Row],[W2]]*Table1[[#This Row],[W2]]*$H$8*$H$8+2*Table1[[#This Row],[W1]]*Table1[[#This Row],[W2]]*$H$5*$H$8*$H$10)</f>
        <v>6.2230073514209359</v>
      </c>
      <c r="D37" s="19">
        <f>Table1[[#This Row],[W1]]*$H$4+Table1[[#This Row],[W2]]*$H$7</f>
        <v>0.73804419333333315</v>
      </c>
    </row>
    <row r="38" spans="1:4" x14ac:dyDescent="0.25">
      <c r="A38" s="42">
        <v>0.37</v>
      </c>
      <c r="B38" s="43">
        <f>1-Table1[[#This Row],[W1]]</f>
        <v>0.63</v>
      </c>
      <c r="C38" s="19">
        <f>SQRT(Table1[[#This Row],[W1]]*Table1[[#This Row],[W1]]*$H$5*$H$5+Table1[[#This Row],[W2]]*Table1[[#This Row],[W2]]*$H$8*$H$8+2*Table1[[#This Row],[W1]]*Table1[[#This Row],[W2]]*$H$5*$H$8*$H$10)</f>
        <v>6.1797072664648329</v>
      </c>
      <c r="D38" s="19">
        <f>Table1[[#This Row],[W1]]*$H$4+Table1[[#This Row],[W2]]*$H$7</f>
        <v>0.73561932833333321</v>
      </c>
    </row>
    <row r="39" spans="1:4" x14ac:dyDescent="0.25">
      <c r="A39" s="42">
        <v>0.38</v>
      </c>
      <c r="B39" s="43">
        <f>1-Table1[[#This Row],[W1]]</f>
        <v>0.62</v>
      </c>
      <c r="C39" s="19">
        <f>SQRT(Table1[[#This Row],[W1]]*Table1[[#This Row],[W1]]*$H$5*$H$5+Table1[[#This Row],[W2]]*Table1[[#This Row],[W2]]*$H$8*$H$8+2*Table1[[#This Row],[W1]]*Table1[[#This Row],[W2]]*$H$5*$H$8*$H$10)</f>
        <v>6.1372788048516052</v>
      </c>
      <c r="D39" s="19">
        <f>Table1[[#This Row],[W1]]*$H$4+Table1[[#This Row],[W2]]*$H$7</f>
        <v>0.73319446333333305</v>
      </c>
    </row>
    <row r="40" spans="1:4" x14ac:dyDescent="0.25">
      <c r="A40" s="42">
        <v>0.39</v>
      </c>
      <c r="B40" s="43">
        <f>1-Table1[[#This Row],[W1]]</f>
        <v>0.61</v>
      </c>
      <c r="C40" s="19">
        <f>SQRT(Table1[[#This Row],[W1]]*Table1[[#This Row],[W1]]*$H$5*$H$5+Table1[[#This Row],[W2]]*Table1[[#This Row],[W2]]*$H$8*$H$8+2*Table1[[#This Row],[W1]]*Table1[[#This Row],[W2]]*$H$5*$H$8*$H$10)</f>
        <v>6.0957401670089668</v>
      </c>
      <c r="D40" s="19">
        <f>Table1[[#This Row],[W1]]*$H$4+Table1[[#This Row],[W2]]*$H$7</f>
        <v>0.7307695983333331</v>
      </c>
    </row>
    <row r="41" spans="1:4" x14ac:dyDescent="0.25">
      <c r="A41" s="42">
        <v>0.4</v>
      </c>
      <c r="B41" s="43">
        <f>1-Table1[[#This Row],[W1]]</f>
        <v>0.6</v>
      </c>
      <c r="C41" s="19">
        <f>SQRT(Table1[[#This Row],[W1]]*Table1[[#This Row],[W1]]*$H$5*$H$5+Table1[[#This Row],[W2]]*Table1[[#This Row],[W2]]*$H$8*$H$8+2*Table1[[#This Row],[W1]]*Table1[[#This Row],[W2]]*$H$5*$H$8*$H$10)</f>
        <v>6.055109665795948</v>
      </c>
      <c r="D41" s="19">
        <f>Table1[[#This Row],[W1]]*$H$4+Table1[[#This Row],[W2]]*$H$7</f>
        <v>0.72834473333333305</v>
      </c>
    </row>
    <row r="42" spans="1:4" x14ac:dyDescent="0.25">
      <c r="A42" s="42">
        <v>0.41</v>
      </c>
      <c r="B42" s="43">
        <f>1-Table1[[#This Row],[W1]]</f>
        <v>0.59000000000000008</v>
      </c>
      <c r="C42" s="19">
        <f>SQRT(Table1[[#This Row],[W1]]*Table1[[#This Row],[W1]]*$H$5*$H$5+Table1[[#This Row],[W2]]*Table1[[#This Row],[W2]]*$H$8*$H$8+2*Table1[[#This Row],[W1]]*Table1[[#This Row],[W2]]*$H$5*$H$8*$H$10)</f>
        <v>6.0154057030152019</v>
      </c>
      <c r="D42" s="19">
        <f>Table1[[#This Row],[W1]]*$H$4+Table1[[#This Row],[W2]]*$H$7</f>
        <v>0.72591986833333322</v>
      </c>
    </row>
    <row r="43" spans="1:4" x14ac:dyDescent="0.25">
      <c r="A43" s="42">
        <v>0.42</v>
      </c>
      <c r="B43" s="43">
        <f>1-Table1[[#This Row],[W1]]</f>
        <v>0.58000000000000007</v>
      </c>
      <c r="C43" s="19">
        <f>SQRT(Table1[[#This Row],[W1]]*Table1[[#This Row],[W1]]*$H$5*$H$5+Table1[[#This Row],[W2]]*Table1[[#This Row],[W2]]*$H$8*$H$8+2*Table1[[#This Row],[W1]]*Table1[[#This Row],[W2]]*$H$5*$H$8*$H$10)</f>
        <v>5.9766467441905373</v>
      </c>
      <c r="D43" s="19">
        <f>Table1[[#This Row],[W1]]*$H$4+Table1[[#This Row],[W2]]*$H$7</f>
        <v>0.72349500333333316</v>
      </c>
    </row>
    <row r="44" spans="1:4" x14ac:dyDescent="0.25">
      <c r="A44" s="42">
        <v>0.43</v>
      </c>
      <c r="B44" s="43">
        <f>1-Table1[[#This Row],[W1]]</f>
        <v>0.57000000000000006</v>
      </c>
      <c r="C44" s="19">
        <f>SQRT(Table1[[#This Row],[W1]]*Table1[[#This Row],[W1]]*$H$5*$H$5+Table1[[#This Row],[W2]]*Table1[[#This Row],[W2]]*$H$8*$H$8+2*Table1[[#This Row],[W1]]*Table1[[#This Row],[W2]]*$H$5*$H$8*$H$10)</f>
        <v>5.9388512916002663</v>
      </c>
      <c r="D44" s="19">
        <f>Table1[[#This Row],[W1]]*$H$4+Table1[[#This Row],[W2]]*$H$7</f>
        <v>0.72107013833333311</v>
      </c>
    </row>
    <row r="45" spans="1:4" x14ac:dyDescent="0.25">
      <c r="A45" s="42">
        <v>0.44</v>
      </c>
      <c r="B45" s="43">
        <f>1-Table1[[#This Row],[W1]]</f>
        <v>0.56000000000000005</v>
      </c>
      <c r="C45" s="19">
        <f>SQRT(Table1[[#This Row],[W1]]*Table1[[#This Row],[W1]]*$H$5*$H$5+Table1[[#This Row],[W2]]*Table1[[#This Row],[W2]]*$H$8*$H$8+2*Table1[[#This Row],[W1]]*Table1[[#This Row],[W2]]*$H$5*$H$8*$H$10)</f>
        <v>5.9020378555685511</v>
      </c>
      <c r="D45" s="19">
        <f>Table1[[#This Row],[W1]]*$H$4+Table1[[#This Row],[W2]]*$H$7</f>
        <v>0.71864527333333328</v>
      </c>
    </row>
    <row r="46" spans="1:4" x14ac:dyDescent="0.25">
      <c r="A46" s="42">
        <v>0.45</v>
      </c>
      <c r="B46" s="43">
        <f>1-Table1[[#This Row],[W1]]</f>
        <v>0.55000000000000004</v>
      </c>
      <c r="C46" s="19">
        <f>SQRT(Table1[[#This Row],[W1]]*Table1[[#This Row],[W1]]*$H$5*$H$5+Table1[[#This Row],[W2]]*Table1[[#This Row],[W2]]*$H$8*$H$8+2*Table1[[#This Row],[W1]]*Table1[[#This Row],[W2]]*$H$5*$H$8*$H$10)</f>
        <v>5.8662249240298943</v>
      </c>
      <c r="D46" s="19">
        <f>Table1[[#This Row],[W1]]*$H$4+Table1[[#This Row],[W2]]*$H$7</f>
        <v>0.71622040833333322</v>
      </c>
    </row>
    <row r="47" spans="1:4" x14ac:dyDescent="0.25">
      <c r="A47" s="42">
        <v>0.46</v>
      </c>
      <c r="B47" s="43">
        <f>1-Table1[[#This Row],[W1]]</f>
        <v>0.54</v>
      </c>
      <c r="C47" s="19">
        <f>SQRT(Table1[[#This Row],[W1]]*Table1[[#This Row],[W1]]*$H$5*$H$5+Table1[[#This Row],[W2]]*Table1[[#This Row],[W2]]*$H$8*$H$8+2*Table1[[#This Row],[W1]]*Table1[[#This Row],[W2]]*$H$5*$H$8*$H$10)</f>
        <v>5.8314309303959115</v>
      </c>
      <c r="D47" s="19">
        <f>Table1[[#This Row],[W1]]*$H$4+Table1[[#This Row],[W2]]*$H$7</f>
        <v>0.71379554333333317</v>
      </c>
    </row>
    <row r="48" spans="1:4" x14ac:dyDescent="0.25">
      <c r="A48" s="42">
        <v>0.47</v>
      </c>
      <c r="B48" s="43">
        <f>1-Table1[[#This Row],[W1]]</f>
        <v>0.53</v>
      </c>
      <c r="C48" s="19">
        <f>SQRT(Table1[[#This Row],[W1]]*Table1[[#This Row],[W1]]*$H$5*$H$5+Table1[[#This Row],[W2]]*Table1[[#This Row],[W2]]*$H$8*$H$8+2*Table1[[#This Row],[W1]]*Table1[[#This Row],[W2]]*$H$5*$H$8*$H$10)</f>
        <v>5.7976742197686466</v>
      </c>
      <c r="D48" s="19">
        <f>Table1[[#This Row],[W1]]*$H$4+Table1[[#This Row],[W2]]*$H$7</f>
        <v>0.71137067833333312</v>
      </c>
    </row>
    <row r="49" spans="1:4" x14ac:dyDescent="0.25">
      <c r="A49" s="42">
        <v>0.48</v>
      </c>
      <c r="B49" s="43">
        <f>1-Table1[[#This Row],[W1]]</f>
        <v>0.52</v>
      </c>
      <c r="C49" s="19">
        <f>SQRT(Table1[[#This Row],[W1]]*Table1[[#This Row],[W1]]*$H$5*$H$5+Table1[[#This Row],[W2]]*Table1[[#This Row],[W2]]*$H$8*$H$8+2*Table1[[#This Row],[W1]]*Table1[[#This Row],[W2]]*$H$5*$H$8*$H$10)</f>
        <v>5.7649730135608692</v>
      </c>
      <c r="D49" s="19">
        <f>Table1[[#This Row],[W1]]*$H$4+Table1[[#This Row],[W2]]*$H$7</f>
        <v>0.70894581333333317</v>
      </c>
    </row>
    <row r="50" spans="1:4" x14ac:dyDescent="0.25">
      <c r="A50" s="42">
        <v>0.49</v>
      </c>
      <c r="B50" s="43">
        <f>1-Table1[[#This Row],[W1]]</f>
        <v>0.51</v>
      </c>
      <c r="C50" s="19">
        <f>SQRT(Table1[[#This Row],[W1]]*Table1[[#This Row],[W1]]*$H$5*$H$5+Table1[[#This Row],[W2]]*Table1[[#This Row],[W2]]*$H$8*$H$8+2*Table1[[#This Row],[W1]]*Table1[[#This Row],[W2]]*$H$5*$H$8*$H$10)</f>
        <v>5.7333453726008399</v>
      </c>
      <c r="D50" s="19">
        <f>Table1[[#This Row],[W1]]*$H$4+Table1[[#This Row],[W2]]*$H$7</f>
        <v>0.70652094833333323</v>
      </c>
    </row>
    <row r="51" spans="1:4" x14ac:dyDescent="0.25">
      <c r="A51" s="42">
        <v>0.5</v>
      </c>
      <c r="B51" s="43">
        <f>1-Table1[[#This Row],[W1]]</f>
        <v>0.5</v>
      </c>
      <c r="C51" s="19">
        <f>SQRT(Table1[[#This Row],[W1]]*Table1[[#This Row],[W1]]*$H$5*$H$5+Table1[[#This Row],[W2]]*Table1[[#This Row],[W2]]*$H$8*$H$8+2*Table1[[#This Row],[W1]]*Table1[[#This Row],[W2]]*$H$5*$H$8*$H$10)</f>
        <v>5.7028091588168275</v>
      </c>
      <c r="D51" s="19">
        <f>Table1[[#This Row],[W1]]*$H$4+Table1[[#This Row],[W2]]*$H$7</f>
        <v>0.70409608333333318</v>
      </c>
    </row>
    <row r="52" spans="1:4" x14ac:dyDescent="0.25">
      <c r="A52" s="42">
        <v>0.51</v>
      </c>
      <c r="B52" s="43">
        <f>1-Table1[[#This Row],[W1]]</f>
        <v>0.49</v>
      </c>
      <c r="C52" s="19">
        <f>SQRT(Table1[[#This Row],[W1]]*Table1[[#This Row],[W1]]*$H$5*$H$5+Table1[[#This Row],[W2]]*Table1[[#This Row],[W2]]*$H$8*$H$8+2*Table1[[#This Row],[W1]]*Table1[[#This Row],[W2]]*$H$5*$H$8*$H$10)</f>
        <v>5.673381995615137</v>
      </c>
      <c r="D52" s="19">
        <f>Table1[[#This Row],[W1]]*$H$4+Table1[[#This Row],[W2]]*$H$7</f>
        <v>0.70167121833333312</v>
      </c>
    </row>
    <row r="53" spans="1:4" x14ac:dyDescent="0.25">
      <c r="A53" s="42">
        <v>0.52</v>
      </c>
      <c r="B53" s="43">
        <f>1-Table1[[#This Row],[W1]]</f>
        <v>0.48</v>
      </c>
      <c r="C53" s="19">
        <f>SQRT(Table1[[#This Row],[W1]]*Table1[[#This Row],[W1]]*$H$5*$H$5+Table1[[#This Row],[W2]]*Table1[[#This Row],[W2]]*$H$8*$H$8+2*Table1[[#This Row],[W1]]*Table1[[#This Row],[W2]]*$H$5*$H$8*$H$10)</f>
        <v>5.645081227084173</v>
      </c>
      <c r="D53" s="19">
        <f>Table1[[#This Row],[W1]]*$H$4+Table1[[#This Row],[W2]]*$H$7</f>
        <v>0.69924635333333318</v>
      </c>
    </row>
    <row r="54" spans="1:4" x14ac:dyDescent="0.25">
      <c r="A54" s="42">
        <v>0.53</v>
      </c>
      <c r="B54" s="43">
        <f>1-Table1[[#This Row],[W1]]</f>
        <v>0.47</v>
      </c>
      <c r="C54" s="19">
        <f>SQRT(Table1[[#This Row],[W1]]*Table1[[#This Row],[W1]]*$H$5*$H$5+Table1[[#This Row],[W2]]*Table1[[#This Row],[W2]]*$H$8*$H$8+2*Table1[[#This Row],[W1]]*Table1[[#This Row],[W2]]*$H$5*$H$8*$H$10)</f>
        <v>5.617923876176107</v>
      </c>
      <c r="D54" s="19">
        <f>Table1[[#This Row],[W1]]*$H$4+Table1[[#This Row],[W2]]*$H$7</f>
        <v>0.69682148833333324</v>
      </c>
    </row>
    <row r="55" spans="1:4" x14ac:dyDescent="0.25">
      <c r="A55" s="42">
        <v>0.54</v>
      </c>
      <c r="B55" s="43">
        <f>1-Table1[[#This Row],[W1]]</f>
        <v>0.45999999999999996</v>
      </c>
      <c r="C55" s="19">
        <f>SQRT(Table1[[#This Row],[W1]]*Table1[[#This Row],[W1]]*$H$5*$H$5+Table1[[#This Row],[W2]]*Table1[[#This Row],[W2]]*$H$8*$H$8+2*Table1[[#This Row],[W1]]*Table1[[#This Row],[W2]]*$H$5*$H$8*$H$10)</f>
        <v>5.591926602036569</v>
      </c>
      <c r="D55" s="19">
        <f>Table1[[#This Row],[W1]]*$H$4+Table1[[#This Row],[W2]]*$H$7</f>
        <v>0.69439662333333319</v>
      </c>
    </row>
    <row r="56" spans="1:4" x14ac:dyDescent="0.25">
      <c r="A56" s="42">
        <v>0.55000000000000004</v>
      </c>
      <c r="B56" s="43">
        <f>1-Table1[[#This Row],[W1]]</f>
        <v>0.44999999999999996</v>
      </c>
      <c r="C56" s="19">
        <f>SQRT(Table1[[#This Row],[W1]]*Table1[[#This Row],[W1]]*$H$5*$H$5+Table1[[#This Row],[W2]]*Table1[[#This Row],[W2]]*$H$8*$H$8+2*Table1[[#This Row],[W1]]*Table1[[#This Row],[W2]]*$H$5*$H$8*$H$10)</f>
        <v>5.5671056566713544</v>
      </c>
      <c r="D56" s="19">
        <f>Table1[[#This Row],[W1]]*$H$4+Table1[[#This Row],[W2]]*$H$7</f>
        <v>0.69197175833333313</v>
      </c>
    </row>
    <row r="57" spans="1:4" x14ac:dyDescent="0.25">
      <c r="A57" s="42">
        <v>0.56000000000000005</v>
      </c>
      <c r="B57" s="43">
        <f>1-Table1[[#This Row],[W1]]</f>
        <v>0.43999999999999995</v>
      </c>
      <c r="C57" s="19">
        <f>SQRT(Table1[[#This Row],[W1]]*Table1[[#This Row],[W1]]*$H$5*$H$5+Table1[[#This Row],[W2]]*Table1[[#This Row],[W2]]*$H$8*$H$8+2*Table1[[#This Row],[W1]]*Table1[[#This Row],[W2]]*$H$5*$H$8*$H$10)</f>
        <v>5.5434768411569459</v>
      </c>
      <c r="D57" s="19">
        <f>Table1[[#This Row],[W1]]*$H$4+Table1[[#This Row],[W2]]*$H$7</f>
        <v>0.68954689333333319</v>
      </c>
    </row>
    <row r="58" spans="1:4" x14ac:dyDescent="0.25">
      <c r="A58" s="42">
        <v>0.56999999999999995</v>
      </c>
      <c r="B58" s="43">
        <f>1-Table1[[#This Row],[W1]]</f>
        <v>0.43000000000000005</v>
      </c>
      <c r="C58" s="19">
        <f>SQRT(Table1[[#This Row],[W1]]*Table1[[#This Row],[W1]]*$H$5*$H$5+Table1[[#This Row],[W2]]*Table1[[#This Row],[W2]]*$H$8*$H$8+2*Table1[[#This Row],[W1]]*Table1[[#This Row],[W2]]*$H$5*$H$8*$H$10)</f>
        <v>5.5210554616185359</v>
      </c>
      <c r="D58" s="19">
        <f>Table1[[#This Row],[W1]]*$H$4+Table1[[#This Row],[W2]]*$H$7</f>
        <v>0.68712202833333325</v>
      </c>
    </row>
    <row r="59" spans="1:4" x14ac:dyDescent="0.25">
      <c r="A59" s="42">
        <v>0.57999999999999996</v>
      </c>
      <c r="B59" s="43">
        <f>1-Table1[[#This Row],[W1]]</f>
        <v>0.42000000000000004</v>
      </c>
      <c r="C59" s="19">
        <f>SQRT(Table1[[#This Row],[W1]]*Table1[[#This Row],[W1]]*$H$5*$H$5+Table1[[#This Row],[W2]]*Table1[[#This Row],[W2]]*$H$8*$H$8+2*Table1[[#This Row],[W1]]*Table1[[#This Row],[W2]]*$H$5*$H$8*$H$10)</f>
        <v>5.4998562852146957</v>
      </c>
      <c r="D59" s="19">
        <f>Table1[[#This Row],[W1]]*$H$4+Table1[[#This Row],[W2]]*$H$7</f>
        <v>0.68469716333333319</v>
      </c>
    </row>
    <row r="60" spans="1:4" x14ac:dyDescent="0.25">
      <c r="A60" s="42">
        <v>0.59</v>
      </c>
      <c r="B60" s="43">
        <f>1-Table1[[#This Row],[W1]]</f>
        <v>0.41000000000000003</v>
      </c>
      <c r="C60" s="19">
        <f>SQRT(Table1[[#This Row],[W1]]*Table1[[#This Row],[W1]]*$H$5*$H$5+Table1[[#This Row],[W2]]*Table1[[#This Row],[W2]]*$H$8*$H$8+2*Table1[[#This Row],[W1]]*Table1[[#This Row],[W2]]*$H$5*$H$8*$H$10)</f>
        <v>5.4798934963817123</v>
      </c>
      <c r="D60" s="19">
        <f>Table1[[#This Row],[W1]]*$H$4+Table1[[#This Row],[W2]]*$H$7</f>
        <v>0.68227229833333325</v>
      </c>
    </row>
    <row r="61" spans="1:4" x14ac:dyDescent="0.25">
      <c r="A61" s="42">
        <v>0.6</v>
      </c>
      <c r="B61" s="43">
        <f>1-Table1[[#This Row],[W1]]</f>
        <v>0.4</v>
      </c>
      <c r="C61" s="19">
        <f>SQRT(Table1[[#This Row],[W1]]*Table1[[#This Row],[W1]]*$H$5*$H$5+Table1[[#This Row],[W2]]*Table1[[#This Row],[W2]]*$H$8*$H$8+2*Table1[[#This Row],[W1]]*Table1[[#This Row],[W2]]*$H$5*$H$8*$H$10)</f>
        <v>5.4611806536023719</v>
      </c>
      <c r="D61" s="19">
        <f>Table1[[#This Row],[W1]]*$H$4+Table1[[#This Row],[W2]]*$H$7</f>
        <v>0.67984743333333331</v>
      </c>
    </row>
    <row r="62" spans="1:4" x14ac:dyDescent="0.25">
      <c r="A62" s="42">
        <v>0.61</v>
      </c>
      <c r="B62" s="43">
        <f>1-Table1[[#This Row],[W1]]</f>
        <v>0.39</v>
      </c>
      <c r="C62" s="19">
        <f>SQRT(Table1[[#This Row],[W1]]*Table1[[#This Row],[W1]]*$H$5*$H$5+Table1[[#This Row],[W2]]*Table1[[#This Row],[W2]]*$H$8*$H$8+2*Table1[[#This Row],[W1]]*Table1[[#This Row],[W2]]*$H$5*$H$8*$H$10)</f>
        <v>5.4437306469734832</v>
      </c>
      <c r="D62" s="19">
        <f>Table1[[#This Row],[W1]]*$H$4+Table1[[#This Row],[W2]]*$H$7</f>
        <v>0.67742256833333325</v>
      </c>
    </row>
    <row r="63" spans="1:4" x14ac:dyDescent="0.25">
      <c r="A63" s="42">
        <v>0.62</v>
      </c>
      <c r="B63" s="43">
        <f>1-Table1[[#This Row],[W1]]</f>
        <v>0.38</v>
      </c>
      <c r="C63" s="19">
        <f>SQRT(Table1[[#This Row],[W1]]*Table1[[#This Row],[W1]]*$H$5*$H$5+Table1[[#This Row],[W2]]*Table1[[#This Row],[W2]]*$H$8*$H$8+2*Table1[[#This Row],[W1]]*Table1[[#This Row],[W2]]*$H$5*$H$8*$H$10)</f>
        <v>5.4275556568531949</v>
      </c>
      <c r="D63" s="19">
        <f>Table1[[#This Row],[W1]]*$H$4+Table1[[#This Row],[W2]]*$H$7</f>
        <v>0.6749977033333332</v>
      </c>
    </row>
    <row r="64" spans="1:4" x14ac:dyDescent="0.25">
      <c r="A64" s="42">
        <v>0.63</v>
      </c>
      <c r="B64" s="43">
        <f>1-Table1[[#This Row],[W1]]</f>
        <v>0.37</v>
      </c>
      <c r="C64" s="19">
        <f>SQRT(Table1[[#This Row],[W1]]*Table1[[#This Row],[W1]]*$H$5*$H$5+Table1[[#This Row],[W2]]*Table1[[#This Row],[W2]]*$H$8*$H$8+2*Table1[[#This Row],[W1]]*Table1[[#This Row],[W2]]*$H$5*$H$8*$H$10)</f>
        <v>5.4126671138730806</v>
      </c>
      <c r="D64" s="19">
        <f>Table1[[#This Row],[W1]]*$H$4+Table1[[#This Row],[W2]]*$H$7</f>
        <v>0.67257283833333326</v>
      </c>
    </row>
    <row r="65" spans="1:4" x14ac:dyDescent="0.25">
      <c r="A65" s="42">
        <v>0.64</v>
      </c>
      <c r="B65" s="43">
        <f>1-Table1[[#This Row],[W1]]</f>
        <v>0.36</v>
      </c>
      <c r="C65" s="19">
        <f>SQRT(Table1[[#This Row],[W1]]*Table1[[#This Row],[W1]]*$H$5*$H$5+Table1[[#This Row],[W2]]*Table1[[#This Row],[W2]]*$H$8*$H$8+2*Table1[[#This Row],[W1]]*Table1[[#This Row],[W2]]*$H$5*$H$8*$H$10)</f>
        <v>5.3990756606006594</v>
      </c>
      <c r="D65" s="19">
        <f>Table1[[#This Row],[W1]]*$H$4+Table1[[#This Row],[W2]]*$H$7</f>
        <v>0.67014797333333331</v>
      </c>
    </row>
    <row r="66" spans="1:4" x14ac:dyDescent="0.25">
      <c r="A66" s="42">
        <v>0.65</v>
      </c>
      <c r="B66" s="43">
        <f>1-Table1[[#This Row],[W1]]</f>
        <v>0.35</v>
      </c>
      <c r="C66" s="19">
        <f>SQRT(Table1[[#This Row],[W1]]*Table1[[#This Row],[W1]]*$H$5*$H$5+Table1[[#This Row],[W2]]*Table1[[#This Row],[W2]]*$H$8*$H$8+2*Table1[[#This Row],[W1]]*Table1[[#This Row],[W2]]*$H$5*$H$8*$H$10)</f>
        <v>5.3867911151353365</v>
      </c>
      <c r="D66" s="19">
        <f>Table1[[#This Row],[W1]]*$H$4+Table1[[#This Row],[W2]]*$H$7</f>
        <v>0.66772310833333326</v>
      </c>
    </row>
    <row r="67" spans="1:4" x14ac:dyDescent="0.25">
      <c r="A67" s="42">
        <v>0.66</v>
      </c>
      <c r="B67" s="43">
        <f>1-Table1[[#This Row],[W1]]</f>
        <v>0.33999999999999997</v>
      </c>
      <c r="C67" s="19">
        <f>SQRT(Table1[[#This Row],[W1]]*Table1[[#This Row],[W1]]*$H$5*$H$5+Table1[[#This Row],[W2]]*Table1[[#This Row],[W2]]*$H$8*$H$8+2*Table1[[#This Row],[W1]]*Table1[[#This Row],[W2]]*$H$5*$H$8*$H$10)</f>
        <v>5.3758224369146363</v>
      </c>
      <c r="D67" s="19">
        <f>Table1[[#This Row],[W1]]*$H$4+Table1[[#This Row],[W2]]*$H$7</f>
        <v>0.66529824333333321</v>
      </c>
    </row>
    <row r="68" spans="1:4" x14ac:dyDescent="0.25">
      <c r="A68" s="42">
        <v>0.67</v>
      </c>
      <c r="B68" s="43">
        <f>1-Table1[[#This Row],[W1]]</f>
        <v>0.32999999999999996</v>
      </c>
      <c r="C68" s="19">
        <f>SQRT(Table1[[#This Row],[W1]]*Table1[[#This Row],[W1]]*$H$5*$H$5+Table1[[#This Row],[W2]]*Table1[[#This Row],[W2]]*$H$8*$H$8+2*Table1[[#This Row],[W1]]*Table1[[#This Row],[W2]]*$H$5*$H$8*$H$10)</f>
        <v>5.3661776949978002</v>
      </c>
      <c r="D68" s="19">
        <f>Table1[[#This Row],[W1]]*$H$4+Table1[[#This Row],[W2]]*$H$7</f>
        <v>0.66287337833333337</v>
      </c>
    </row>
    <row r="69" spans="1:4" x14ac:dyDescent="0.25">
      <c r="A69" s="42">
        <v>0.68</v>
      </c>
      <c r="B69" s="43">
        <f>1-Table1[[#This Row],[W1]]</f>
        <v>0.31999999999999995</v>
      </c>
      <c r="C69" s="19">
        <f>SQRT(Table1[[#This Row],[W1]]*Table1[[#This Row],[W1]]*$H$5*$H$5+Table1[[#This Row],[W2]]*Table1[[#This Row],[W2]]*$H$8*$H$8+2*Table1[[#This Row],[W1]]*Table1[[#This Row],[W2]]*$H$5*$H$8*$H$10)</f>
        <v>5.3578640390805212</v>
      </c>
      <c r="D69" s="19">
        <f>Table1[[#This Row],[W1]]*$H$4+Table1[[#This Row],[W2]]*$H$7</f>
        <v>0.66044851333333332</v>
      </c>
    </row>
    <row r="70" spans="1:4" x14ac:dyDescent="0.25">
      <c r="A70" s="42">
        <v>0.69</v>
      </c>
      <c r="B70" s="43">
        <f>1-Table1[[#This Row],[W1]]</f>
        <v>0.31000000000000005</v>
      </c>
      <c r="C70" s="19">
        <f>SQRT(Table1[[#This Row],[W1]]*Table1[[#This Row],[W1]]*$H$5*$H$5+Table1[[#This Row],[W2]]*Table1[[#This Row],[W2]]*$H$8*$H$8+2*Table1[[#This Row],[W1]]*Table1[[#This Row],[W2]]*$H$5*$H$8*$H$10)</f>
        <v>5.3508876734777235</v>
      </c>
      <c r="D70" s="19">
        <f>Table1[[#This Row],[W1]]*$H$4+Table1[[#This Row],[W2]]*$H$7</f>
        <v>0.65802364833333327</v>
      </c>
    </row>
    <row r="71" spans="1:4" x14ac:dyDescent="0.25">
      <c r="A71" s="42">
        <v>0.7</v>
      </c>
      <c r="B71" s="43">
        <f>1-Table1[[#This Row],[W1]]</f>
        <v>0.30000000000000004</v>
      </c>
      <c r="C71" s="19">
        <f>SQRT(Table1[[#This Row],[W1]]*Table1[[#This Row],[W1]]*$H$5*$H$5+Table1[[#This Row],[W2]]*Table1[[#This Row],[W2]]*$H$8*$H$8+2*Table1[[#This Row],[W1]]*Table1[[#This Row],[W2]]*$H$5*$H$8*$H$10)</f>
        <v>5.3452538342910065</v>
      </c>
      <c r="D71" s="19">
        <f>Table1[[#This Row],[W1]]*$H$4+Table1[[#This Row],[W2]]*$H$7</f>
        <v>0.65559878333333332</v>
      </c>
    </row>
    <row r="72" spans="1:4" x14ac:dyDescent="0.25">
      <c r="A72" s="42">
        <v>0.71</v>
      </c>
      <c r="B72" s="43">
        <f>1-Table1[[#This Row],[W1]]</f>
        <v>0.29000000000000004</v>
      </c>
      <c r="C72" s="19">
        <f>SQRT(Table1[[#This Row],[W1]]*Table1[[#This Row],[W1]]*$H$5*$H$5+Table1[[#This Row],[W2]]*Table1[[#This Row],[W2]]*$H$8*$H$8+2*Table1[[#This Row],[W1]]*Table1[[#This Row],[W2]]*$H$5*$H$8*$H$10)</f>
        <v>5.3409667699539982</v>
      </c>
      <c r="D72" s="19">
        <f>Table1[[#This Row],[W1]]*$H$4+Table1[[#This Row],[W2]]*$H$7</f>
        <v>0.65317391833333338</v>
      </c>
    </row>
    <row r="73" spans="1:4" x14ac:dyDescent="0.25">
      <c r="A73" s="42">
        <v>0.72</v>
      </c>
      <c r="B73" s="43">
        <f>1-Table1[[#This Row],[W1]]</f>
        <v>0.28000000000000003</v>
      </c>
      <c r="C73" s="19">
        <f>SQRT(Table1[[#This Row],[W1]]*Table1[[#This Row],[W1]]*$H$5*$H$5+Table1[[#This Row],[W2]]*Table1[[#This Row],[W2]]*$H$8*$H$8+2*Table1[[#This Row],[W1]]*Table1[[#This Row],[W2]]*$H$5*$H$8*$H$10)</f>
        <v>5.3380297253224649</v>
      </c>
      <c r="D73" s="19">
        <f>Table1[[#This Row],[W1]]*$H$4+Table1[[#This Row],[W2]]*$H$7</f>
        <v>0.65074905333333333</v>
      </c>
    </row>
    <row r="74" spans="1:4" x14ac:dyDescent="0.25">
      <c r="A74" s="42">
        <v>0.73</v>
      </c>
      <c r="B74" s="43">
        <f>1-Table1[[#This Row],[W1]]</f>
        <v>0.27</v>
      </c>
      <c r="C74" s="19">
        <f>SQRT(Table1[[#This Row],[W1]]*Table1[[#This Row],[W1]]*$H$5*$H$5+Table1[[#This Row],[W2]]*Table1[[#This Row],[W2]]*$H$8*$H$8+2*Table1[[#This Row],[W1]]*Table1[[#This Row],[W2]]*$H$5*$H$8*$H$10)</f>
        <v>5.3364449294472136</v>
      </c>
      <c r="D74" s="19">
        <f>Table1[[#This Row],[W1]]*$H$4+Table1[[#This Row],[W2]]*$H$7</f>
        <v>0.64832418833333327</v>
      </c>
    </row>
    <row r="75" spans="1:4" x14ac:dyDescent="0.25">
      <c r="A75" s="42">
        <v>0.74</v>
      </c>
      <c r="B75" s="43">
        <f>1-Table1[[#This Row],[W1]]</f>
        <v>0.26</v>
      </c>
      <c r="C75" s="19">
        <f>SQRT(Table1[[#This Row],[W1]]*Table1[[#This Row],[W1]]*$H$5*$H$5+Table1[[#This Row],[W2]]*Table1[[#This Row],[W2]]*$H$8*$H$8+2*Table1[[#This Row],[W1]]*Table1[[#This Row],[W2]]*$H$5*$H$8*$H$10)</f>
        <v>5.3362135871367435</v>
      </c>
      <c r="D75" s="19">
        <f>Table1[[#This Row],[W1]]*$H$4+Table1[[#This Row],[W2]]*$H$7</f>
        <v>0.64589932333333333</v>
      </c>
    </row>
    <row r="76" spans="1:4" x14ac:dyDescent="0.25">
      <c r="A76" s="42">
        <v>0.75</v>
      </c>
      <c r="B76" s="43">
        <f>1-Table1[[#This Row],[W1]]</f>
        <v>0.25</v>
      </c>
      <c r="C76" s="19">
        <f>SQRT(Table1[[#This Row],[W1]]*Table1[[#This Row],[W1]]*$H$5*$H$5+Table1[[#This Row],[W2]]*Table1[[#This Row],[W2]]*$H$8*$H$8+2*Table1[[#This Row],[W1]]*Table1[[#This Row],[W2]]*$H$5*$H$8*$H$10)</f>
        <v>5.3373358743839576</v>
      </c>
      <c r="D76" s="19">
        <f>Table1[[#This Row],[W1]]*$H$4+Table1[[#This Row],[W2]]*$H$7</f>
        <v>0.64347445833333339</v>
      </c>
    </row>
    <row r="77" spans="1:4" x14ac:dyDescent="0.25">
      <c r="A77" s="42">
        <v>0.76000000000000101</v>
      </c>
      <c r="B77" s="43">
        <f>1-Table1[[#This Row],[W1]]</f>
        <v>0.23999999999999899</v>
      </c>
      <c r="C77" s="19">
        <f>SQRT(Table1[[#This Row],[W1]]*Table1[[#This Row],[W1]]*$H$5*$H$5+Table1[[#This Row],[W2]]*Table1[[#This Row],[W2]]*$H$8*$H$8+2*Table1[[#This Row],[W1]]*Table1[[#This Row],[W2]]*$H$5*$H$8*$H$10)</f>
        <v>5.3398109376973641</v>
      </c>
      <c r="D77" s="19">
        <f>Table1[[#This Row],[W1]]*$H$4+Table1[[#This Row],[W2]]*$H$7</f>
        <v>0.64104959333333311</v>
      </c>
    </row>
    <row r="78" spans="1:4" x14ac:dyDescent="0.25">
      <c r="A78" s="42">
        <v>0.77000000000000102</v>
      </c>
      <c r="B78" s="43">
        <f>1-Table1[[#This Row],[W1]]</f>
        <v>0.22999999999999898</v>
      </c>
      <c r="C78" s="19">
        <f>SQRT(Table1[[#This Row],[W1]]*Table1[[#This Row],[W1]]*$H$5*$H$5+Table1[[#This Row],[W2]]*Table1[[#This Row],[W2]]*$H$8*$H$8+2*Table1[[#This Row],[W1]]*Table1[[#This Row],[W2]]*$H$5*$H$8*$H$10)</f>
        <v>5.3436368973426793</v>
      </c>
      <c r="D78" s="19">
        <f>Table1[[#This Row],[W1]]*$H$4+Table1[[#This Row],[W2]]*$H$7</f>
        <v>0.63862472833333306</v>
      </c>
    </row>
    <row r="79" spans="1:4" x14ac:dyDescent="0.25">
      <c r="A79" s="42">
        <v>0.78000000000000103</v>
      </c>
      <c r="B79" s="43">
        <f>1-Table1[[#This Row],[W1]]</f>
        <v>0.21999999999999897</v>
      </c>
      <c r="C79" s="19">
        <f>SQRT(Table1[[#This Row],[W1]]*Table1[[#This Row],[W1]]*$H$5*$H$5+Table1[[#This Row],[W2]]*Table1[[#This Row],[W2]]*$H$8*$H$8+2*Table1[[#This Row],[W1]]*Table1[[#This Row],[W2]]*$H$5*$H$8*$H$10)</f>
        <v>5.3488108544661648</v>
      </c>
      <c r="D79" s="19">
        <f>Table1[[#This Row],[W1]]*$H$4+Table1[[#This Row],[W2]]*$H$7</f>
        <v>0.63619986333333312</v>
      </c>
    </row>
    <row r="80" spans="1:4" x14ac:dyDescent="0.25">
      <c r="A80" s="42">
        <v>0.79000000000000103</v>
      </c>
      <c r="B80" s="43">
        <f>1-Table1[[#This Row],[W1]]</f>
        <v>0.20999999999999897</v>
      </c>
      <c r="C80" s="19">
        <f>SQRT(Table1[[#This Row],[W1]]*Table1[[#This Row],[W1]]*$H$5*$H$5+Table1[[#This Row],[W2]]*Table1[[#This Row],[W2]]*$H$8*$H$8+2*Table1[[#This Row],[W1]]*Table1[[#This Row],[W2]]*$H$5*$H$8*$H$10)</f>
        <v>5.355328902036856</v>
      </c>
      <c r="D80" s="19">
        <f>Table1[[#This Row],[W1]]*$H$4+Table1[[#This Row],[W2]]*$H$7</f>
        <v>0.63377499833333317</v>
      </c>
    </row>
    <row r="81" spans="1:4" x14ac:dyDescent="0.25">
      <c r="A81" s="42">
        <v>0.80000000000000104</v>
      </c>
      <c r="B81" s="43">
        <f>1-Table1[[#This Row],[W1]]</f>
        <v>0.19999999999999896</v>
      </c>
      <c r="C81" s="19">
        <f>SQRT(Table1[[#This Row],[W1]]*Table1[[#This Row],[W1]]*$H$5*$H$5+Table1[[#This Row],[W2]]*Table1[[#This Row],[W2]]*$H$8*$H$8+2*Table1[[#This Row],[W1]]*Table1[[#This Row],[W2]]*$H$5*$H$8*$H$10)</f>
        <v>5.3631861395117326</v>
      </c>
      <c r="D81" s="19">
        <f>Table1[[#This Row],[W1]]*$H$4+Table1[[#This Row],[W2]]*$H$7</f>
        <v>0.63135013333333312</v>
      </c>
    </row>
    <row r="82" spans="1:4" x14ac:dyDescent="0.25">
      <c r="A82" s="42">
        <v>0.81000000000000105</v>
      </c>
      <c r="B82" s="43">
        <f>1-Table1[[#This Row],[W1]]</f>
        <v>0.18999999999999895</v>
      </c>
      <c r="C82" s="19">
        <f>SQRT(Table1[[#This Row],[W1]]*Table1[[#This Row],[W1]]*$H$5*$H$5+Table1[[#This Row],[W2]]*Table1[[#This Row],[W2]]*$H$8*$H$8+2*Table1[[#This Row],[W1]]*Table1[[#This Row],[W2]]*$H$5*$H$8*$H$10)</f>
        <v>5.3723766910961768</v>
      </c>
      <c r="D82" s="19">
        <f>Table1[[#This Row],[W1]]*$H$4+Table1[[#This Row],[W2]]*$H$7</f>
        <v>0.62892526833333307</v>
      </c>
    </row>
    <row r="83" spans="1:4" x14ac:dyDescent="0.25">
      <c r="A83" s="42">
        <v>0.82000000000000095</v>
      </c>
      <c r="B83" s="43">
        <f>1-Table1[[#This Row],[W1]]</f>
        <v>0.17999999999999905</v>
      </c>
      <c r="C83" s="19">
        <f>SQRT(Table1[[#This Row],[W1]]*Table1[[#This Row],[W1]]*$H$5*$H$5+Table1[[#This Row],[W2]]*Table1[[#This Row],[W2]]*$H$8*$H$8+2*Table1[[#This Row],[W1]]*Table1[[#This Row],[W2]]*$H$5*$H$8*$H$10)</f>
        <v>5.3828937274424726</v>
      </c>
      <c r="D83" s="19">
        <f>Table1[[#This Row],[W1]]*$H$4+Table1[[#This Row],[W2]]*$H$7</f>
        <v>0.62650040333333312</v>
      </c>
    </row>
    <row r="84" spans="1:4" x14ac:dyDescent="0.25">
      <c r="A84" s="42">
        <v>0.83000000000000096</v>
      </c>
      <c r="B84" s="43">
        <f>1-Table1[[#This Row],[W1]]</f>
        <v>0.16999999999999904</v>
      </c>
      <c r="C84" s="19">
        <f>SQRT(Table1[[#This Row],[W1]]*Table1[[#This Row],[W1]]*$H$5*$H$5+Table1[[#This Row],[W2]]*Table1[[#This Row],[W2]]*$H$8*$H$8+2*Table1[[#This Row],[W1]]*Table1[[#This Row],[W2]]*$H$5*$H$8*$H$10)</f>
        <v>5.3947294906018017</v>
      </c>
      <c r="D84" s="19">
        <f>Table1[[#This Row],[W1]]*$H$4+Table1[[#This Row],[W2]]*$H$7</f>
        <v>0.62407553833333318</v>
      </c>
    </row>
    <row r="85" spans="1:4" x14ac:dyDescent="0.25">
      <c r="A85" s="42">
        <v>0.84000000000000097</v>
      </c>
      <c r="B85" s="43">
        <f>1-Table1[[#This Row],[W1]]</f>
        <v>0.15999999999999903</v>
      </c>
      <c r="C85" s="19">
        <f>SQRT(Table1[[#This Row],[W1]]*Table1[[#This Row],[W1]]*$H$5*$H$5+Table1[[#This Row],[W2]]*Table1[[#This Row],[W2]]*$H$8*$H$8+2*Table1[[#This Row],[W1]]*Table1[[#This Row],[W2]]*$H$5*$H$8*$H$10)</f>
        <v>5.407875322020776</v>
      </c>
      <c r="D85" s="19">
        <f>Table1[[#This Row],[W1]]*$H$4+Table1[[#This Row],[W2]]*$H$7</f>
        <v>0.62165067333333313</v>
      </c>
    </row>
    <row r="86" spans="1:4" x14ac:dyDescent="0.25">
      <c r="A86" s="42">
        <v>0.85000000000000098</v>
      </c>
      <c r="B86" s="43">
        <f>1-Table1[[#This Row],[W1]]</f>
        <v>0.14999999999999902</v>
      </c>
      <c r="C86" s="19">
        <f>SQRT(Table1[[#This Row],[W1]]*Table1[[#This Row],[W1]]*$H$5*$H$5+Table1[[#This Row],[W2]]*Table1[[#This Row],[W2]]*$H$8*$H$8+2*Table1[[#This Row],[W1]]*Table1[[#This Row],[W2]]*$H$5*$H$8*$H$10)</f>
        <v>5.4223216933521288</v>
      </c>
      <c r="D86" s="19">
        <f>Table1[[#This Row],[W1]]*$H$4+Table1[[#This Row],[W2]]*$H$7</f>
        <v>0.61922580833333318</v>
      </c>
    </row>
    <row r="87" spans="1:4" x14ac:dyDescent="0.25">
      <c r="A87" s="42">
        <v>0.86000000000000099</v>
      </c>
      <c r="B87" s="43">
        <f>1-Table1[[#This Row],[W1]]</f>
        <v>0.13999999999999901</v>
      </c>
      <c r="C87" s="19">
        <f>SQRT(Table1[[#This Row],[W1]]*Table1[[#This Row],[W1]]*$H$5*$H$5+Table1[[#This Row],[W2]]*Table1[[#This Row],[W2]]*$H$8*$H$8+2*Table1[[#This Row],[W1]]*Table1[[#This Row],[W2]]*$H$5*$H$8*$H$10)</f>
        <v>5.4380582398312134</v>
      </c>
      <c r="D87" s="19">
        <f>Table1[[#This Row],[W1]]*$H$4+Table1[[#This Row],[W2]]*$H$7</f>
        <v>0.61680094333333313</v>
      </c>
    </row>
    <row r="88" spans="1:4" x14ac:dyDescent="0.25">
      <c r="A88" s="42">
        <v>0.87000000000000099</v>
      </c>
      <c r="B88" s="43">
        <f>1-Table1[[#This Row],[W1]]</f>
        <v>0.12999999999999901</v>
      </c>
      <c r="C88" s="19">
        <f>SQRT(Table1[[#This Row],[W1]]*Table1[[#This Row],[W1]]*$H$5*$H$5+Table1[[#This Row],[W2]]*Table1[[#This Row],[W2]]*$H$8*$H$8+2*Table1[[#This Row],[W1]]*Table1[[#This Row],[W2]]*$H$5*$H$8*$H$10)</f>
        <v>5.455073795955327</v>
      </c>
      <c r="D88" s="19">
        <f>Table1[[#This Row],[W1]]*$H$4+Table1[[#This Row],[W2]]*$H$7</f>
        <v>0.61437607833333319</v>
      </c>
    </row>
    <row r="89" spans="1:4" x14ac:dyDescent="0.25">
      <c r="A89" s="42">
        <v>0.880000000000001</v>
      </c>
      <c r="B89" s="43">
        <f>1-Table1[[#This Row],[W1]]</f>
        <v>0.119999999999999</v>
      </c>
      <c r="C89" s="19">
        <f>SQRT(Table1[[#This Row],[W1]]*Table1[[#This Row],[W1]]*$H$5*$H$5+Table1[[#This Row],[W2]]*Table1[[#This Row],[W2]]*$H$8*$H$8+2*Table1[[#This Row],[W1]]*Table1[[#This Row],[W2]]*$H$5*$H$8*$H$10)</f>
        <v>5.47335643319198</v>
      </c>
      <c r="D89" s="19">
        <f>Table1[[#This Row],[W1]]*$H$4+Table1[[#This Row],[W2]]*$H$7</f>
        <v>0.61195121333333313</v>
      </c>
    </row>
    <row r="90" spans="1:4" x14ac:dyDescent="0.25">
      <c r="A90" s="42">
        <v>0.89000000000000101</v>
      </c>
      <c r="B90" s="43">
        <f>1-Table1[[#This Row],[W1]]</f>
        <v>0.10999999999999899</v>
      </c>
      <c r="C90" s="19">
        <f>SQRT(Table1[[#This Row],[W1]]*Table1[[#This Row],[W1]]*$H$5*$H$5+Table1[[#This Row],[W2]]*Table1[[#This Row],[W2]]*$H$8*$H$8+2*Table1[[#This Row],[W1]]*Table1[[#This Row],[W2]]*$H$5*$H$8*$H$10)</f>
        <v>5.4928934994347811</v>
      </c>
      <c r="D90" s="19">
        <f>Table1[[#This Row],[W1]]*$H$4+Table1[[#This Row],[W2]]*$H$7</f>
        <v>0.60952634833333319</v>
      </c>
    </row>
    <row r="91" spans="1:4" x14ac:dyDescent="0.25">
      <c r="A91" s="42">
        <v>0.90000000000000102</v>
      </c>
      <c r="B91" s="43">
        <f>1-Table1[[#This Row],[W1]]</f>
        <v>9.9999999999998979E-2</v>
      </c>
      <c r="C91" s="19">
        <f>SQRT(Table1[[#This Row],[W1]]*Table1[[#This Row],[W1]]*$H$5*$H$5+Table1[[#This Row],[W2]]*Table1[[#This Row],[W2]]*$H$8*$H$8+2*Table1[[#This Row],[W1]]*Table1[[#This Row],[W2]]*$H$5*$H$8*$H$10)</f>
        <v>5.5136716599218136</v>
      </c>
      <c r="D91" s="19">
        <f>Table1[[#This Row],[W1]]*$H$4+Table1[[#This Row],[W2]]*$H$7</f>
        <v>0.60710148333333325</v>
      </c>
    </row>
    <row r="92" spans="1:4" x14ac:dyDescent="0.25">
      <c r="A92" s="42">
        <v>0.91000000000000103</v>
      </c>
      <c r="B92" s="43">
        <f>1-Table1[[#This Row],[W1]]</f>
        <v>8.999999999999897E-2</v>
      </c>
      <c r="C92" s="19">
        <f>SQRT(Table1[[#This Row],[W1]]*Table1[[#This Row],[W1]]*$H$5*$H$5+Table1[[#This Row],[W2]]*Table1[[#This Row],[W2]]*$H$8*$H$8+2*Table1[[#This Row],[W1]]*Table1[[#This Row],[W2]]*$H$5*$H$8*$H$10)</f>
        <v>5.5356769393309371</v>
      </c>
      <c r="D92" s="19">
        <f>Table1[[#This Row],[W1]]*$H$4+Table1[[#This Row],[W2]]*$H$7</f>
        <v>0.60467661833333308</v>
      </c>
    </row>
    <row r="93" spans="1:4" x14ac:dyDescent="0.25">
      <c r="A93" s="42">
        <v>0.92000000000000104</v>
      </c>
      <c r="B93" s="43">
        <f>1-Table1[[#This Row],[W1]]</f>
        <v>7.9999999999998961E-2</v>
      </c>
      <c r="C93" s="19">
        <f>SQRT(Table1[[#This Row],[W1]]*Table1[[#This Row],[W1]]*$H$5*$H$5+Table1[[#This Row],[W2]]*Table1[[#This Row],[W2]]*$H$8*$H$8+2*Table1[[#This Row],[W1]]*Table1[[#This Row],[W2]]*$H$5*$H$8*$H$10)</f>
        <v>5.5588947647692484</v>
      </c>
      <c r="D93" s="19">
        <f>Table1[[#This Row],[W1]]*$H$4+Table1[[#This Row],[W2]]*$H$7</f>
        <v>0.60225175333333314</v>
      </c>
    </row>
    <row r="94" spans="1:4" x14ac:dyDescent="0.25">
      <c r="A94" s="42">
        <v>0.93000000000000105</v>
      </c>
      <c r="B94" s="43">
        <f>1-Table1[[#This Row],[W1]]</f>
        <v>6.9999999999998952E-2</v>
      </c>
      <c r="C94" s="19">
        <f>SQRT(Table1[[#This Row],[W1]]*Table1[[#This Row],[W1]]*$H$5*$H$5+Table1[[#This Row],[W2]]*Table1[[#This Row],[W2]]*$H$8*$H$8+2*Table1[[#This Row],[W1]]*Table1[[#This Row],[W2]]*$H$5*$H$8*$H$10)</f>
        <v>5.583310009379816</v>
      </c>
      <c r="D94" s="19">
        <f>Table1[[#This Row],[W1]]*$H$4+Table1[[#This Row],[W2]]*$H$7</f>
        <v>0.5998268883333332</v>
      </c>
    </row>
    <row r="95" spans="1:4" x14ac:dyDescent="0.25">
      <c r="A95" s="42">
        <v>0.94000000000000095</v>
      </c>
      <c r="B95" s="43">
        <f>1-Table1[[#This Row],[W1]]</f>
        <v>5.9999999999999054E-2</v>
      </c>
      <c r="C95" s="19">
        <f>SQRT(Table1[[#This Row],[W1]]*Table1[[#This Row],[W1]]*$H$5*$H$5+Table1[[#This Row],[W2]]*Table1[[#This Row],[W2]]*$H$8*$H$8+2*Table1[[#This Row],[W1]]*Table1[[#This Row],[W2]]*$H$5*$H$8*$H$10)</f>
        <v>5.6089070362973548</v>
      </c>
      <c r="D95" s="19">
        <f>Table1[[#This Row],[W1]]*$H$4+Table1[[#This Row],[W2]]*$H$7</f>
        <v>0.59740202333333314</v>
      </c>
    </row>
    <row r="96" spans="1:4" x14ac:dyDescent="0.25">
      <c r="A96" s="42">
        <v>0.95000000000000095</v>
      </c>
      <c r="B96" s="43">
        <f>1-Table1[[#This Row],[W1]]</f>
        <v>4.9999999999999045E-2</v>
      </c>
      <c r="C96" s="19">
        <f>SQRT(Table1[[#This Row],[W1]]*Table1[[#This Row],[W1]]*$H$5*$H$5+Table1[[#This Row],[W2]]*Table1[[#This Row],[W2]]*$H$8*$H$8+2*Table1[[#This Row],[W1]]*Table1[[#This Row],[W2]]*$H$5*$H$8*$H$10)</f>
        <v>5.6356697426955735</v>
      </c>
      <c r="D96" s="19">
        <f>Table1[[#This Row],[W1]]*$H$4+Table1[[#This Row],[W2]]*$H$7</f>
        <v>0.5949771583333332</v>
      </c>
    </row>
    <row r="97" spans="1:4" x14ac:dyDescent="0.25">
      <c r="A97" s="42">
        <v>0.96000000000000096</v>
      </c>
      <c r="B97" s="43">
        <f>1-Table1[[#This Row],[W1]]</f>
        <v>3.9999999999999036E-2</v>
      </c>
      <c r="C97" s="19">
        <f>SQRT(Table1[[#This Row],[W1]]*Table1[[#This Row],[W1]]*$H$5*$H$5+Table1[[#This Row],[W2]]*Table1[[#This Row],[W2]]*$H$8*$H$8+2*Table1[[#This Row],[W1]]*Table1[[#This Row],[W2]]*$H$5*$H$8*$H$10)</f>
        <v>5.6635816036820774</v>
      </c>
      <c r="D97" s="19">
        <f>Table1[[#This Row],[W1]]*$H$4+Table1[[#This Row],[W2]]*$H$7</f>
        <v>0.59255229333333326</v>
      </c>
    </row>
    <row r="98" spans="1:4" x14ac:dyDescent="0.25">
      <c r="A98" s="42">
        <v>0.97000000000000097</v>
      </c>
      <c r="B98" s="43">
        <f>1-Table1[[#This Row],[W1]]</f>
        <v>2.9999999999999027E-2</v>
      </c>
      <c r="C98" s="19">
        <f>SQRT(Table1[[#This Row],[W1]]*Table1[[#This Row],[W1]]*$H$5*$H$5+Table1[[#This Row],[W2]]*Table1[[#This Row],[W2]]*$H$8*$H$8+2*Table1[[#This Row],[W1]]*Table1[[#This Row],[W2]]*$H$5*$H$8*$H$10)</f>
        <v>5.6926257158117268</v>
      </c>
      <c r="D98" s="19">
        <f>Table1[[#This Row],[W1]]*$H$4+Table1[[#This Row],[W2]]*$H$7</f>
        <v>0.5901274283333332</v>
      </c>
    </row>
    <row r="99" spans="1:4" x14ac:dyDescent="0.25">
      <c r="A99" s="42">
        <v>0.98000000000000098</v>
      </c>
      <c r="B99" s="43">
        <f>1-Table1[[#This Row],[W1]]</f>
        <v>1.9999999999999019E-2</v>
      </c>
      <c r="C99" s="19">
        <f>SQRT(Table1[[#This Row],[W1]]*Table1[[#This Row],[W1]]*$H$5*$H$5+Table1[[#This Row],[W2]]*Table1[[#This Row],[W2]]*$H$8*$H$8+2*Table1[[#This Row],[W1]]*Table1[[#This Row],[W2]]*$H$5*$H$8*$H$10)</f>
        <v>5.7227848400057093</v>
      </c>
      <c r="D99" s="19">
        <f>Table1[[#This Row],[W1]]*$H$4+Table1[[#This Row],[W2]]*$H$7</f>
        <v>0.58770256333333326</v>
      </c>
    </row>
    <row r="100" spans="1:4" x14ac:dyDescent="0.25">
      <c r="A100" s="42">
        <v>0.99000000000000099</v>
      </c>
      <c r="B100" s="43">
        <f>1-Table1[[#This Row],[W1]]</f>
        <v>9.9999999999990097E-3</v>
      </c>
      <c r="C100" s="19">
        <f>SQRT(Table1[[#This Row],[W1]]*Table1[[#This Row],[W1]]*$H$5*$H$5+Table1[[#This Row],[W2]]*Table1[[#This Row],[W2]]*$H$8*$H$8+2*Table1[[#This Row],[W1]]*Table1[[#This Row],[W2]]*$H$5*$H$8*$H$10)</f>
        <v>5.7540414436811833</v>
      </c>
      <c r="D100" s="19">
        <f>Table1[[#This Row],[W1]]*$H$4+Table1[[#This Row],[W2]]*$H$7</f>
        <v>0.58527769833333321</v>
      </c>
    </row>
    <row r="101" spans="1:4" x14ac:dyDescent="0.25">
      <c r="A101" s="42">
        <v>1</v>
      </c>
      <c r="B101" s="43">
        <f>1-Table1[[#This Row],[W1]]</f>
        <v>0</v>
      </c>
      <c r="C101" s="19">
        <f>SQRT(Table1[[#This Row],[W1]]*Table1[[#This Row],[W1]]*$H$5*$H$5+Table1[[#This Row],[W2]]*Table1[[#This Row],[W2]]*$H$8*$H$8+2*Table1[[#This Row],[W1]]*Table1[[#This Row],[W2]]*$H$5*$H$8*$H$10)</f>
        <v>5.7863777419146514</v>
      </c>
      <c r="D101" s="19">
        <f>Table1[[#This Row],[W1]]*$H$4+Table1[[#This Row],[W2]]*$H$7</f>
        <v>0.58285283333333349</v>
      </c>
    </row>
  </sheetData>
  <phoneticPr fontId="13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94666-4BB8-4A32-A1C4-618786ABB75C}">
  <sheetPr codeName="Sheet5"/>
  <dimension ref="A1:R231"/>
  <sheetViews>
    <sheetView showGridLines="0" tabSelected="1" topLeftCell="D41" zoomScale="93" workbookViewId="0">
      <selection activeCell="X19" sqref="X19"/>
    </sheetView>
  </sheetViews>
  <sheetFormatPr defaultRowHeight="13.2" x14ac:dyDescent="0.25"/>
  <cols>
    <col min="1" max="1" width="3.77734375" hidden="1" customWidth="1"/>
    <col min="2" max="2" width="4.44140625" hidden="1" customWidth="1"/>
    <col min="3" max="3" width="4" hidden="1" customWidth="1"/>
    <col min="4" max="4" width="7" customWidth="1"/>
    <col min="5" max="5" width="6.5546875" customWidth="1"/>
    <col min="6" max="6" width="9.109375" customWidth="1"/>
    <col min="7" max="7" width="9.109375" hidden="1" customWidth="1"/>
    <col min="8" max="8" width="21.5546875" style="19" customWidth="1"/>
    <col min="9" max="10" width="18.21875" customWidth="1"/>
    <col min="11" max="11" width="18" style="46" customWidth="1"/>
    <col min="13" max="13" width="33.33203125" customWidth="1"/>
  </cols>
  <sheetData>
    <row r="1" spans="1:18" x14ac:dyDescent="0.25">
      <c r="A1" s="36" t="s">
        <v>42</v>
      </c>
      <c r="B1" s="36" t="s">
        <v>43</v>
      </c>
      <c r="C1" s="36" t="s">
        <v>44</v>
      </c>
      <c r="D1" s="36" t="s">
        <v>39</v>
      </c>
      <c r="E1" s="36" t="s">
        <v>40</v>
      </c>
      <c r="F1" s="36" t="s">
        <v>41</v>
      </c>
      <c r="G1" s="36" t="s">
        <v>45</v>
      </c>
      <c r="H1" s="38" t="s">
        <v>33</v>
      </c>
      <c r="I1" s="36" t="s">
        <v>24</v>
      </c>
      <c r="J1" s="36"/>
      <c r="K1" s="45" t="s">
        <v>49</v>
      </c>
    </row>
    <row r="2" spans="1:18" x14ac:dyDescent="0.25">
      <c r="A2">
        <v>0</v>
      </c>
      <c r="B2">
        <v>5</v>
      </c>
      <c r="C2">
        <v>95</v>
      </c>
      <c r="D2">
        <f>Table2[[#This Row],[V1]]/100</f>
        <v>0</v>
      </c>
      <c r="E2">
        <f>Table2[[#This Row],[V2]]/100</f>
        <v>0.05</v>
      </c>
      <c r="F2">
        <f>Table2[[#This Row],[V3]]/100</f>
        <v>0.95</v>
      </c>
      <c r="G2">
        <f>SUM(Table2[[#This Row],[w1]:[w3]])</f>
        <v>1</v>
      </c>
      <c r="H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12.04504167995238</v>
      </c>
      <c r="I2" s="19">
        <f>Table2[[#This Row],[w1]]*$N$7+Table2[[#This Row],[w2]]*$N$10+Table2[[#This Row],[w3]]*$R$7</f>
        <v>1.0661051562499999</v>
      </c>
      <c r="J2" s="19"/>
      <c r="K2" s="46">
        <f>$N$3+ ('Step1 '!C1-$N$3)*H2/'Step1 '!$C$2</f>
        <v>1.2974416076391644</v>
      </c>
      <c r="M2" s="44" t="s">
        <v>47</v>
      </c>
    </row>
    <row r="3" spans="1:18" x14ac:dyDescent="0.25">
      <c r="A3">
        <v>0</v>
      </c>
      <c r="B3">
        <v>10</v>
      </c>
      <c r="C3">
        <v>90</v>
      </c>
      <c r="D3">
        <f>Table2[[#This Row],[V1]]/100</f>
        <v>0</v>
      </c>
      <c r="E3">
        <f>Table2[[#This Row],[V2]]/100</f>
        <v>0.1</v>
      </c>
      <c r="F3">
        <f>Table2[[#This Row],[V3]]/100</f>
        <v>0.9</v>
      </c>
      <c r="G3">
        <f>SUM(Table2[[#This Row],[w1]:[w3]])</f>
        <v>1</v>
      </c>
      <c r="H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11.531702822502329</v>
      </c>
      <c r="I3" s="19">
        <f>Table2[[#This Row],[w1]]*$N$7+Table2[[#This Row],[w2]]*$N$10+Table2[[#This Row],[w3]]*$R$7</f>
        <v>1.0534332708333332</v>
      </c>
      <c r="J3" s="19"/>
      <c r="K3" s="46">
        <f>$N$3+ ('Step1 '!$C$1-$N$3)*H3/'Step1 '!$C$2</f>
        <v>1.261325111060728</v>
      </c>
      <c r="M3" s="37" t="s">
        <v>50</v>
      </c>
      <c r="N3">
        <v>0.45</v>
      </c>
    </row>
    <row r="4" spans="1:18" x14ac:dyDescent="0.25">
      <c r="A4">
        <v>0</v>
      </c>
      <c r="B4">
        <v>15</v>
      </c>
      <c r="C4">
        <v>85</v>
      </c>
      <c r="D4">
        <f>Table2[[#This Row],[V1]]/100</f>
        <v>0</v>
      </c>
      <c r="E4">
        <f>Table2[[#This Row],[V2]]/100</f>
        <v>0.15</v>
      </c>
      <c r="F4">
        <f>Table2[[#This Row],[V3]]/100</f>
        <v>0.85</v>
      </c>
      <c r="G4">
        <f>SUM(Table2[[#This Row],[w1]:[w3]])</f>
        <v>1</v>
      </c>
      <c r="H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11.034918770835425</v>
      </c>
      <c r="I4" s="19">
        <f>Table2[[#This Row],[w1]]*$N$7+Table2[[#This Row],[w2]]*$N$10+Table2[[#This Row],[w3]]*$R$7</f>
        <v>1.0407613854166664</v>
      </c>
      <c r="J4" s="19"/>
      <c r="K4" s="46">
        <f>$N$3+ ('Step1 '!$C$1-$N$3)*H4/'Step1 '!$C$2</f>
        <v>1.2263733452984893</v>
      </c>
    </row>
    <row r="5" spans="1:18" x14ac:dyDescent="0.25">
      <c r="A5">
        <v>0</v>
      </c>
      <c r="B5">
        <v>20</v>
      </c>
      <c r="C5">
        <v>80</v>
      </c>
      <c r="D5">
        <f>Table2[[#This Row],[V1]]/100</f>
        <v>0</v>
      </c>
      <c r="E5">
        <f>Table2[[#This Row],[V2]]/100</f>
        <v>0.2</v>
      </c>
      <c r="F5">
        <f>Table2[[#This Row],[V3]]/100</f>
        <v>0.8</v>
      </c>
      <c r="G5">
        <f>SUM(Table2[[#This Row],[w1]:[w3]])</f>
        <v>1</v>
      </c>
      <c r="H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10.557026851773829</v>
      </c>
      <c r="I5" s="19">
        <f>Table2[[#This Row],[w1]]*$N$7+Table2[[#This Row],[w2]]*$N$10+Table2[[#This Row],[w3]]*$R$7</f>
        <v>1.0280894999999997</v>
      </c>
      <c r="J5" s="19"/>
      <c r="K5" s="46">
        <f>$N$3+ ('Step1 '!$C$1-$N$3)*H5/'Step1 '!$C$2</f>
        <v>1.1927507554454897</v>
      </c>
    </row>
    <row r="6" spans="1:18" x14ac:dyDescent="0.25">
      <c r="A6">
        <v>0</v>
      </c>
      <c r="B6">
        <v>25</v>
      </c>
      <c r="C6">
        <v>75</v>
      </c>
      <c r="D6">
        <f>Table2[[#This Row],[V1]]/100</f>
        <v>0</v>
      </c>
      <c r="E6">
        <f>Table2[[#This Row],[V2]]/100</f>
        <v>0.25</v>
      </c>
      <c r="F6">
        <f>Table2[[#This Row],[V3]]/100</f>
        <v>0.75</v>
      </c>
      <c r="G6">
        <f>SUM(Table2[[#This Row],[w1]:[w3]])</f>
        <v>1</v>
      </c>
      <c r="H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10.100708935362949</v>
      </c>
      <c r="I6" s="19">
        <f>Table2[[#This Row],[w1]]*$N$7+Table2[[#This Row],[w2]]*$N$10+Table2[[#This Row],[w3]]*$R$7</f>
        <v>1.0154176145833331</v>
      </c>
      <c r="J6" s="19"/>
      <c r="K6" s="46">
        <f>$N$3+ ('Step1 '!$C$1-$N$3)*H6/'Step1 '!$C$2</f>
        <v>1.1606460272965275</v>
      </c>
      <c r="M6" s="37" t="s">
        <v>31</v>
      </c>
      <c r="P6" s="37" t="s">
        <v>46</v>
      </c>
    </row>
    <row r="7" spans="1:18" x14ac:dyDescent="0.25">
      <c r="A7">
        <v>0</v>
      </c>
      <c r="B7">
        <v>30</v>
      </c>
      <c r="C7">
        <v>70</v>
      </c>
      <c r="D7">
        <f>Table2[[#This Row],[V1]]/100</f>
        <v>0</v>
      </c>
      <c r="E7">
        <f>Table2[[#This Row],[V2]]/100</f>
        <v>0.3</v>
      </c>
      <c r="F7">
        <f>Table2[[#This Row],[V3]]/100</f>
        <v>0.7</v>
      </c>
      <c r="G7">
        <f>SUM(Table2[[#This Row],[w1]:[w3]])</f>
        <v>1</v>
      </c>
      <c r="H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9.6690199825255281</v>
      </c>
      <c r="I7" s="19">
        <f>Table2[[#This Row],[w1]]*$N$7+Table2[[#This Row],[w2]]*$N$10+Table2[[#This Row],[w3]]*$R$7</f>
        <v>1.0027457291666664</v>
      </c>
      <c r="J7" s="19"/>
      <c r="K7" s="46">
        <f>$N$3+ ('Step1 '!$C$1-$N$3)*H7/'Step1 '!$C$2</f>
        <v>1.1302740958484614</v>
      </c>
      <c r="M7" s="36" t="s">
        <v>32</v>
      </c>
      <c r="N7" s="41">
        <f>'Step1 '!E1</f>
        <v>0.58285283333333349</v>
      </c>
      <c r="P7" s="36" t="s">
        <v>32</v>
      </c>
      <c r="R7" s="41">
        <f>'Step1 '!G1</f>
        <v>1.0787770416666664</v>
      </c>
    </row>
    <row r="8" spans="1:18" x14ac:dyDescent="0.25">
      <c r="A8">
        <v>0</v>
      </c>
      <c r="B8">
        <v>35</v>
      </c>
      <c r="C8">
        <v>65</v>
      </c>
      <c r="D8">
        <f>Table2[[#This Row],[V1]]/100</f>
        <v>0</v>
      </c>
      <c r="E8">
        <f>Table2[[#This Row],[V2]]/100</f>
        <v>0.35</v>
      </c>
      <c r="F8">
        <f>Table2[[#This Row],[V3]]/100</f>
        <v>0.65</v>
      </c>
      <c r="G8">
        <f>SUM(Table2[[#This Row],[w1]:[w3]])</f>
        <v>1</v>
      </c>
      <c r="H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9.265403133471569</v>
      </c>
      <c r="I8" s="19">
        <f>Table2[[#This Row],[w1]]*$N$7+Table2[[#This Row],[w2]]*$N$10+Table2[[#This Row],[w3]]*$R$7</f>
        <v>0.99007384374999974</v>
      </c>
      <c r="J8" s="19"/>
      <c r="K8" s="46">
        <f>$N$3+ ('Step1 '!$C$1-$N$3)*H8/'Step1 '!$C$2</f>
        <v>1.1018772068612004</v>
      </c>
      <c r="M8" s="36" t="s">
        <v>33</v>
      </c>
      <c r="N8" s="41">
        <f>'Step1 '!E2</f>
        <v>5.7863777419146514</v>
      </c>
      <c r="P8" s="36" t="s">
        <v>33</v>
      </c>
      <c r="R8" s="41">
        <f>'Step1 '!G2</f>
        <v>12.57290775973409</v>
      </c>
    </row>
    <row r="9" spans="1:18" x14ac:dyDescent="0.25">
      <c r="A9">
        <v>0</v>
      </c>
      <c r="B9">
        <v>40</v>
      </c>
      <c r="C9">
        <v>60</v>
      </c>
      <c r="D9">
        <f>Table2[[#This Row],[V1]]/100</f>
        <v>0</v>
      </c>
      <c r="E9">
        <f>Table2[[#This Row],[V2]]/100</f>
        <v>0.4</v>
      </c>
      <c r="F9">
        <f>Table2[[#This Row],[V3]]/100</f>
        <v>0.6</v>
      </c>
      <c r="G9">
        <f>SUM(Table2[[#This Row],[w1]:[w3]])</f>
        <v>1</v>
      </c>
      <c r="H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8.8936811504978781</v>
      </c>
      <c r="I9" s="19">
        <f>Table2[[#This Row],[w1]]*$N$7+Table2[[#This Row],[w2]]*$N$10+Table2[[#This Row],[w3]]*$R$7</f>
        <v>0.9774019583333331</v>
      </c>
      <c r="J9" s="19"/>
      <c r="K9" s="46">
        <f>$N$3+ ('Step1 '!$C$1-$N$3)*H9/'Step1 '!$C$2</f>
        <v>1.0757243148068418</v>
      </c>
      <c r="M9" s="37" t="s">
        <v>34</v>
      </c>
    </row>
    <row r="10" spans="1:18" x14ac:dyDescent="0.25">
      <c r="A10">
        <v>0</v>
      </c>
      <c r="B10">
        <v>45</v>
      </c>
      <c r="C10">
        <v>55</v>
      </c>
      <c r="D10">
        <f>Table2[[#This Row],[V1]]/100</f>
        <v>0</v>
      </c>
      <c r="E10">
        <f>Table2[[#This Row],[V2]]/100</f>
        <v>0.45</v>
      </c>
      <c r="F10">
        <f>Table2[[#This Row],[V3]]/100</f>
        <v>0.55000000000000004</v>
      </c>
      <c r="G10">
        <f>SUM(Table2[[#This Row],[w1]:[w3]])</f>
        <v>1</v>
      </c>
      <c r="H1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8.5580111571209994</v>
      </c>
      <c r="I10" s="19">
        <f>Table2[[#This Row],[w1]]*$N$7+Table2[[#This Row],[w2]]*$N$10+Table2[[#This Row],[w3]]*$R$7</f>
        <v>0.96473007291666635</v>
      </c>
      <c r="J10" s="19"/>
      <c r="K10" s="46">
        <f>$N$3+ ('Step1 '!$C$1-$N$3)*H10/'Step1 '!$C$2</f>
        <v>1.0521078984936478</v>
      </c>
      <c r="M10" s="36" t="s">
        <v>32</v>
      </c>
      <c r="N10" s="41">
        <f>'Step1 '!F1</f>
        <v>0.82533933333333287</v>
      </c>
    </row>
    <row r="11" spans="1:18" x14ac:dyDescent="0.25">
      <c r="A11">
        <v>0</v>
      </c>
      <c r="B11">
        <v>50</v>
      </c>
      <c r="C11">
        <v>50</v>
      </c>
      <c r="D11">
        <f>Table2[[#This Row],[V1]]/100</f>
        <v>0</v>
      </c>
      <c r="E11">
        <f>Table2[[#This Row],[V2]]/100</f>
        <v>0.5</v>
      </c>
      <c r="F11">
        <f>Table2[[#This Row],[V3]]/100</f>
        <v>0.5</v>
      </c>
      <c r="G11">
        <f>SUM(Table2[[#This Row],[w1]:[w3]])</f>
        <v>1</v>
      </c>
      <c r="H1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8.2627880828327864</v>
      </c>
      <c r="I11" s="19">
        <f>Table2[[#This Row],[w1]]*$N$7+Table2[[#This Row],[w2]]*$N$10+Table2[[#This Row],[w3]]*$R$7</f>
        <v>0.9520581874999996</v>
      </c>
      <c r="J11" s="19"/>
      <c r="K11" s="46">
        <f>$N$3+ ('Step1 '!$C$1-$N$3)*H11/'Step1 '!$C$2</f>
        <v>1.0313371678200145</v>
      </c>
      <c r="M11" s="36" t="s">
        <v>33</v>
      </c>
      <c r="N11" s="41">
        <f>'Step1 '!F2</f>
        <v>8.22687437851088</v>
      </c>
    </row>
    <row r="12" spans="1:18" x14ac:dyDescent="0.25">
      <c r="A12">
        <v>0</v>
      </c>
      <c r="B12">
        <v>55</v>
      </c>
      <c r="C12">
        <v>45</v>
      </c>
      <c r="D12">
        <f>Table2[[#This Row],[V1]]/100</f>
        <v>0</v>
      </c>
      <c r="E12">
        <f>Table2[[#This Row],[V2]]/100</f>
        <v>0.55000000000000004</v>
      </c>
      <c r="F12">
        <f>Table2[[#This Row],[V3]]/100</f>
        <v>0.45</v>
      </c>
      <c r="G12">
        <f>SUM(Table2[[#This Row],[w1]:[w3]])</f>
        <v>1</v>
      </c>
      <c r="H1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8.0124840228177199</v>
      </c>
      <c r="I12" s="19">
        <f>Table2[[#This Row],[w1]]*$N$7+Table2[[#This Row],[w2]]*$N$10+Table2[[#This Row],[w3]]*$R$7</f>
        <v>0.93938630208333307</v>
      </c>
      <c r="J12" s="19"/>
      <c r="K12" s="46">
        <f>$N$3+ ('Step1 '!$C$1-$N$3)*H12/'Step1 '!$C$2</f>
        <v>1.0137267617580059</v>
      </c>
    </row>
    <row r="13" spans="1:18" x14ac:dyDescent="0.25">
      <c r="A13">
        <v>0</v>
      </c>
      <c r="B13">
        <v>60</v>
      </c>
      <c r="C13">
        <v>40</v>
      </c>
      <c r="D13">
        <f>Table2[[#This Row],[V1]]/100</f>
        <v>0</v>
      </c>
      <c r="E13">
        <f>Table2[[#This Row],[V2]]/100</f>
        <v>0.6</v>
      </c>
      <c r="F13">
        <f>Table2[[#This Row],[V3]]/100</f>
        <v>0.4</v>
      </c>
      <c r="G13">
        <f>SUM(Table2[[#This Row],[w1]:[w3]])</f>
        <v>1</v>
      </c>
      <c r="H1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7.8114182392011697</v>
      </c>
      <c r="I13" s="19">
        <f>Table2[[#This Row],[w1]]*$N$7+Table2[[#This Row],[w2]]*$N$10+Table2[[#This Row],[w3]]*$R$7</f>
        <v>0.92671441666666632</v>
      </c>
      <c r="J13" s="19"/>
      <c r="K13" s="46">
        <f>$N$3+ ('Step1 '!$C$1-$N$3)*H13/'Step1 '!$C$2</f>
        <v>0.99958056654866656</v>
      </c>
      <c r="M13" s="37"/>
      <c r="N13" s="19"/>
    </row>
    <row r="14" spans="1:18" x14ac:dyDescent="0.25">
      <c r="A14">
        <v>0</v>
      </c>
      <c r="B14">
        <v>65</v>
      </c>
      <c r="C14">
        <v>35</v>
      </c>
      <c r="D14">
        <f>Table2[[#This Row],[V1]]/100</f>
        <v>0</v>
      </c>
      <c r="E14">
        <f>Table2[[#This Row],[V2]]/100</f>
        <v>0.65</v>
      </c>
      <c r="F14">
        <f>Table2[[#This Row],[V3]]/100</f>
        <v>0.35</v>
      </c>
      <c r="G14">
        <f>SUM(Table2[[#This Row],[w1]:[w3]])</f>
        <v>1</v>
      </c>
      <c r="H1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7.6634672947204443</v>
      </c>
      <c r="I14" s="19">
        <f>Table2[[#This Row],[w1]]*$N$7+Table2[[#This Row],[w2]]*$N$10+Table2[[#This Row],[w3]]*$R$7</f>
        <v>0.91404253124999957</v>
      </c>
      <c r="J14" s="19"/>
      <c r="K14" s="46">
        <f>$N$3+ ('Step1 '!$C$1-$N$3)*H14/'Step1 '!$C$2</f>
        <v>0.98917132185081225</v>
      </c>
      <c r="M14" s="40" t="s">
        <v>28</v>
      </c>
      <c r="N14" s="19">
        <f>'Step2.Correlation.Calc'!B1</f>
        <v>0.61280069909128698</v>
      </c>
    </row>
    <row r="15" spans="1:18" x14ac:dyDescent="0.25">
      <c r="A15">
        <v>0</v>
      </c>
      <c r="B15">
        <v>70</v>
      </c>
      <c r="C15">
        <v>30</v>
      </c>
      <c r="D15">
        <f>Table2[[#This Row],[V1]]/100</f>
        <v>0</v>
      </c>
      <c r="E15">
        <f>Table2[[#This Row],[V2]]/100</f>
        <v>0.7</v>
      </c>
      <c r="F15">
        <f>Table2[[#This Row],[V3]]/100</f>
        <v>0.3</v>
      </c>
      <c r="G15">
        <f>SUM(Table2[[#This Row],[w1]:[w3]])</f>
        <v>1</v>
      </c>
      <c r="H1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7.5717454014569716</v>
      </c>
      <c r="I15" s="19">
        <f>Table2[[#This Row],[w1]]*$N$7+Table2[[#This Row],[w2]]*$N$10+Table2[[#This Row],[w3]]*$R$7</f>
        <v>0.90137064583333293</v>
      </c>
      <c r="J15" s="19"/>
      <c r="K15" s="46">
        <f>$N$3+ ('Step1 '!$C$1-$N$3)*H15/'Step1 '!$C$2</f>
        <v>0.98271813133904518</v>
      </c>
      <c r="M15" s="40" t="s">
        <v>25</v>
      </c>
      <c r="N15" s="19">
        <f>'Step2.Correlation.Calc'!B2</f>
        <v>0.30380450826180033</v>
      </c>
    </row>
    <row r="16" spans="1:18" x14ac:dyDescent="0.25">
      <c r="A16">
        <v>0</v>
      </c>
      <c r="B16">
        <v>75</v>
      </c>
      <c r="C16">
        <v>25</v>
      </c>
      <c r="D16">
        <f>Table2[[#This Row],[V1]]/100</f>
        <v>0</v>
      </c>
      <c r="E16">
        <f>Table2[[#This Row],[V2]]/100</f>
        <v>0.75</v>
      </c>
      <c r="F16">
        <f>Table2[[#This Row],[V3]]/100</f>
        <v>0.25</v>
      </c>
      <c r="G16">
        <f>SUM(Table2[[#This Row],[w1]:[w3]])</f>
        <v>1</v>
      </c>
      <c r="H1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7.5383053300744898</v>
      </c>
      <c r="I16" s="19">
        <f>Table2[[#This Row],[w1]]*$N$7+Table2[[#This Row],[w2]]*$N$10+Table2[[#This Row],[w3]]*$R$7</f>
        <v>0.88869876041666629</v>
      </c>
      <c r="J16" s="19"/>
      <c r="K16" s="46">
        <f>$N$3+ ('Step1 '!$C$1-$N$3)*H16/'Step1 '!$C$2</f>
        <v>0.98036541985784664</v>
      </c>
      <c r="M16" s="40" t="s">
        <v>26</v>
      </c>
      <c r="N16" s="19">
        <f>'Step2.Correlation.Calc'!B3</f>
        <v>8.0116543076287114E-2</v>
      </c>
    </row>
    <row r="17" spans="1:14" x14ac:dyDescent="0.25">
      <c r="A17">
        <v>0</v>
      </c>
      <c r="B17">
        <v>80</v>
      </c>
      <c r="C17">
        <v>20</v>
      </c>
      <c r="D17">
        <f>Table2[[#This Row],[V1]]/100</f>
        <v>0</v>
      </c>
      <c r="E17">
        <f>Table2[[#This Row],[V2]]/100</f>
        <v>0.8</v>
      </c>
      <c r="F17">
        <f>Table2[[#This Row],[V3]]/100</f>
        <v>0.2</v>
      </c>
      <c r="G17">
        <f>SUM(Table2[[#This Row],[w1]:[w3]])</f>
        <v>1</v>
      </c>
      <c r="H1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7.5639201114292494</v>
      </c>
      <c r="I17" s="19">
        <f>Table2[[#This Row],[w1]]*$N$7+Table2[[#This Row],[w2]]*$N$10+Table2[[#This Row],[w3]]*$R$7</f>
        <v>0.87602687499999965</v>
      </c>
      <c r="J17" s="19"/>
      <c r="K17" s="46">
        <f>$N$3+ ('Step1 '!$C$1-$N$3)*H17/'Step1 '!$C$2</f>
        <v>0.98216757480818884</v>
      </c>
      <c r="M17" s="40" t="s">
        <v>27</v>
      </c>
      <c r="N17" s="19">
        <f>'Step2.Correlation.Calc'!B4</f>
        <v>0.22881452468877256</v>
      </c>
    </row>
    <row r="18" spans="1:14" x14ac:dyDescent="0.25">
      <c r="A18">
        <v>0</v>
      </c>
      <c r="B18">
        <v>85</v>
      </c>
      <c r="C18">
        <v>15</v>
      </c>
      <c r="D18">
        <f>Table2[[#This Row],[V1]]/100</f>
        <v>0</v>
      </c>
      <c r="E18">
        <f>Table2[[#This Row],[V2]]/100</f>
        <v>0.85</v>
      </c>
      <c r="F18">
        <f>Table2[[#This Row],[V3]]/100</f>
        <v>0.15</v>
      </c>
      <c r="G18">
        <f>SUM(Table2[[#This Row],[w1]:[w3]])</f>
        <v>1</v>
      </c>
      <c r="H1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7.6479964064091961</v>
      </c>
      <c r="I18" s="19">
        <f>Table2[[#This Row],[w1]]*$N$7+Table2[[#This Row],[w2]]*$N$10+Table2[[#This Row],[w3]]*$R$7</f>
        <v>0.86335498958333279</v>
      </c>
      <c r="J18" s="19"/>
      <c r="K18" s="46">
        <f>$N$3+ ('Step1 '!$C$1-$N$3)*H18/'Step1 '!$C$2</f>
        <v>0.98808285119122852</v>
      </c>
    </row>
    <row r="19" spans="1:14" x14ac:dyDescent="0.25">
      <c r="A19">
        <v>0</v>
      </c>
      <c r="B19">
        <v>90</v>
      </c>
      <c r="C19">
        <v>10</v>
      </c>
      <c r="D19">
        <f>Table2[[#This Row],[V1]]/100</f>
        <v>0</v>
      </c>
      <c r="E19">
        <f>Table2[[#This Row],[V2]]/100</f>
        <v>0.9</v>
      </c>
      <c r="F19">
        <f>Table2[[#This Row],[V3]]/100</f>
        <v>0.1</v>
      </c>
      <c r="G19">
        <f>SUM(Table2[[#This Row],[w1]:[w3]])</f>
        <v>1</v>
      </c>
      <c r="H1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7.7886412159324587</v>
      </c>
      <c r="I19" s="19">
        <f>Table2[[#This Row],[w1]]*$N$7+Table2[[#This Row],[w2]]*$N$10+Table2[[#This Row],[w3]]*$R$7</f>
        <v>0.85068310416666626</v>
      </c>
      <c r="J19" s="19"/>
      <c r="K19" s="46">
        <f>$N$3+ ('Step1 '!$C$1-$N$3)*H19/'Step1 '!$C$2</f>
        <v>0.99797806506058961</v>
      </c>
      <c r="M19" s="36" t="s">
        <v>48</v>
      </c>
    </row>
    <row r="20" spans="1:14" x14ac:dyDescent="0.25">
      <c r="A20">
        <v>0</v>
      </c>
      <c r="B20">
        <v>95</v>
      </c>
      <c r="C20">
        <v>5</v>
      </c>
      <c r="D20">
        <f>Table2[[#This Row],[V1]]/100</f>
        <v>0</v>
      </c>
      <c r="E20">
        <f>Table2[[#This Row],[V2]]/100</f>
        <v>0.95</v>
      </c>
      <c r="F20">
        <f>Table2[[#This Row],[V3]]/100</f>
        <v>0.05</v>
      </c>
      <c r="G20">
        <f>SUM(Table2[[#This Row],[w1]:[w3]])</f>
        <v>1</v>
      </c>
      <c r="H2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7.9828651702446685</v>
      </c>
      <c r="I20" s="19">
        <f>Table2[[#This Row],[w1]]*$N$7+Table2[[#This Row],[w2]]*$N$10+Table2[[#This Row],[w3]]*$R$7</f>
        <v>0.83801121874999951</v>
      </c>
      <c r="J20" s="19"/>
      <c r="K20" s="46">
        <f>$N$3+ ('Step1 '!$C$1-$N$3)*H20/'Step1 '!$C$2</f>
        <v>1.0116428961552235</v>
      </c>
    </row>
    <row r="21" spans="1:14" x14ac:dyDescent="0.25">
      <c r="A21">
        <v>0</v>
      </c>
      <c r="B21">
        <v>100</v>
      </c>
      <c r="C21">
        <v>0</v>
      </c>
      <c r="D21">
        <f>Table2[[#This Row],[V1]]/100</f>
        <v>0</v>
      </c>
      <c r="E21">
        <f>Table2[[#This Row],[V2]]/100</f>
        <v>1</v>
      </c>
      <c r="F21">
        <f>Table2[[#This Row],[V3]]/100</f>
        <v>0</v>
      </c>
      <c r="G21">
        <f>SUM(Table2[[#This Row],[w1]:[w3]])</f>
        <v>1</v>
      </c>
      <c r="H2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8.22687437851088</v>
      </c>
      <c r="I21" s="19">
        <f>Table2[[#This Row],[w1]]*$N$7+Table2[[#This Row],[w2]]*$N$10+Table2[[#This Row],[w3]]*$R$7</f>
        <v>0.82533933333333287</v>
      </c>
      <c r="J21" s="19"/>
      <c r="K21" s="46">
        <f>$N$3+ ('Step1 '!$C$1-$N$3)*H21/'Step1 '!$C$2</f>
        <v>1.0288104212851736</v>
      </c>
    </row>
    <row r="22" spans="1:14" x14ac:dyDescent="0.25">
      <c r="A22">
        <v>5</v>
      </c>
      <c r="B22">
        <v>0</v>
      </c>
      <c r="C22">
        <v>95</v>
      </c>
      <c r="D22">
        <f>Table2[[#This Row],[V1]]/100</f>
        <v>0.05</v>
      </c>
      <c r="E22">
        <f>Table2[[#This Row],[V2]]/100</f>
        <v>0</v>
      </c>
      <c r="F22">
        <f>Table2[[#This Row],[V3]]/100</f>
        <v>0.95</v>
      </c>
      <c r="G22">
        <f>SUM(Table2[[#This Row],[w1]:[w3]])</f>
        <v>1</v>
      </c>
      <c r="H2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11.970915863500268</v>
      </c>
      <c r="I22" s="19">
        <f>Table2[[#This Row],[w1]]*$N$7+Table2[[#This Row],[w2]]*$N$10+Table2[[#This Row],[w3]]*$R$7</f>
        <v>1.0539808312499999</v>
      </c>
      <c r="J22" s="19"/>
      <c r="K22" s="46">
        <f>$N$3+ ('Step1 '!$C$1-$N$3)*H22/'Step1 '!$C$2</f>
        <v>1.2922264076646972</v>
      </c>
    </row>
    <row r="23" spans="1:14" x14ac:dyDescent="0.25">
      <c r="A23">
        <v>5</v>
      </c>
      <c r="B23">
        <v>5</v>
      </c>
      <c r="C23">
        <v>90</v>
      </c>
      <c r="D23">
        <f>Table2[[#This Row],[V1]]/100</f>
        <v>0.05</v>
      </c>
      <c r="E23">
        <f>Table2[[#This Row],[V2]]/100</f>
        <v>0.05</v>
      </c>
      <c r="F23">
        <f>Table2[[#This Row],[V3]]/100</f>
        <v>0.9</v>
      </c>
      <c r="G23">
        <f>SUM(Table2[[#This Row],[w1]:[w3]])</f>
        <v>1</v>
      </c>
      <c r="H2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11.446530759325055</v>
      </c>
      <c r="I23" s="19">
        <f>Table2[[#This Row],[w1]]*$N$7+Table2[[#This Row],[w2]]*$N$10+Table2[[#This Row],[w3]]*$R$7</f>
        <v>1.0413089458333331</v>
      </c>
      <c r="J23" s="19"/>
      <c r="K23" s="46">
        <f>$N$3+ ('Step1 '!$C$1-$N$3)*H23/'Step1 '!$C$2</f>
        <v>1.2553327407507917</v>
      </c>
    </row>
    <row r="24" spans="1:14" x14ac:dyDescent="0.25">
      <c r="A24">
        <v>5</v>
      </c>
      <c r="B24">
        <v>10</v>
      </c>
      <c r="C24">
        <v>85</v>
      </c>
      <c r="D24">
        <f>Table2[[#This Row],[V1]]/100</f>
        <v>0.05</v>
      </c>
      <c r="E24">
        <f>Table2[[#This Row],[V2]]/100</f>
        <v>0.1</v>
      </c>
      <c r="F24">
        <f>Table2[[#This Row],[V3]]/100</f>
        <v>0.85</v>
      </c>
      <c r="G24">
        <f>SUM(Table2[[#This Row],[w1]:[w3]])</f>
        <v>1</v>
      </c>
      <c r="H2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10.937798115482687</v>
      </c>
      <c r="I24" s="19">
        <f>Table2[[#This Row],[w1]]*$N$7+Table2[[#This Row],[w2]]*$N$10+Table2[[#This Row],[w3]]*$R$7</f>
        <v>1.0286370604166664</v>
      </c>
      <c r="J24" s="19"/>
      <c r="K24" s="46">
        <f>$N$3+ ('Step1 '!$C$1-$N$3)*H24/'Step1 '!$C$2</f>
        <v>1.2195403191874981</v>
      </c>
    </row>
    <row r="25" spans="1:14" x14ac:dyDescent="0.25">
      <c r="A25">
        <v>5</v>
      </c>
      <c r="B25">
        <v>15</v>
      </c>
      <c r="C25">
        <v>80</v>
      </c>
      <c r="D25">
        <f>Table2[[#This Row],[V1]]/100</f>
        <v>0.05</v>
      </c>
      <c r="E25">
        <f>Table2[[#This Row],[V2]]/100</f>
        <v>0.15</v>
      </c>
      <c r="F25">
        <f>Table2[[#This Row],[V3]]/100</f>
        <v>0.8</v>
      </c>
      <c r="G25">
        <f>SUM(Table2[[#This Row],[w1]:[w3]])</f>
        <v>1</v>
      </c>
      <c r="H2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10.447004842712023</v>
      </c>
      <c r="I25" s="19">
        <f>Table2[[#This Row],[w1]]*$N$7+Table2[[#This Row],[w2]]*$N$10+Table2[[#This Row],[w3]]*$R$7</f>
        <v>1.0159651749999998</v>
      </c>
      <c r="J25" s="19"/>
      <c r="K25" s="46">
        <f>$N$3+ ('Step1 '!$C$1-$N$3)*H25/'Step1 '!$C$2</f>
        <v>1.1850100409911586</v>
      </c>
    </row>
    <row r="26" spans="1:14" x14ac:dyDescent="0.25">
      <c r="A26">
        <v>5</v>
      </c>
      <c r="B26">
        <v>20</v>
      </c>
      <c r="C26">
        <v>75</v>
      </c>
      <c r="D26">
        <f>Table2[[#This Row],[V1]]/100</f>
        <v>0.05</v>
      </c>
      <c r="E26">
        <f>Table2[[#This Row],[V2]]/100</f>
        <v>0.2</v>
      </c>
      <c r="F26">
        <f>Table2[[#This Row],[V3]]/100</f>
        <v>0.75</v>
      </c>
      <c r="G26">
        <f>SUM(Table2[[#This Row],[w1]:[w3]])</f>
        <v>1</v>
      </c>
      <c r="H2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9.9767987916941525</v>
      </c>
      <c r="I26" s="19">
        <f>Table2[[#This Row],[w1]]*$N$7+Table2[[#This Row],[w2]]*$N$10+Table2[[#This Row],[w3]]*$R$7</f>
        <v>1.0032932895833331</v>
      </c>
      <c r="J26" s="19"/>
      <c r="K26" s="46">
        <f>$N$3+ ('Step1 '!$C$1-$N$3)*H26/'Step1 '!$C$2</f>
        <v>1.1519281984883254</v>
      </c>
    </row>
    <row r="27" spans="1:14" x14ac:dyDescent="0.25">
      <c r="A27">
        <v>5</v>
      </c>
      <c r="B27">
        <v>25</v>
      </c>
      <c r="C27">
        <v>70</v>
      </c>
      <c r="D27">
        <f>Table2[[#This Row],[V1]]/100</f>
        <v>0.05</v>
      </c>
      <c r="E27">
        <f>Table2[[#This Row],[V2]]/100</f>
        <v>0.25</v>
      </c>
      <c r="F27">
        <f>Table2[[#This Row],[V3]]/100</f>
        <v>0.7</v>
      </c>
      <c r="G27">
        <f>SUM(Table2[[#This Row],[w1]:[w3]])</f>
        <v>1</v>
      </c>
      <c r="H2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9.5302276706257736</v>
      </c>
      <c r="I27" s="19">
        <f>Table2[[#This Row],[w1]]*$N$7+Table2[[#This Row],[w2]]*$N$10+Table2[[#This Row],[w3]]*$R$7</f>
        <v>0.99062140416666633</v>
      </c>
      <c r="J27" s="19"/>
      <c r="K27" s="46">
        <f>$N$3+ ('Step1 '!$C$1-$N$3)*H27/'Step1 '!$C$2</f>
        <v>1.1205092164026687</v>
      </c>
    </row>
    <row r="28" spans="1:14" x14ac:dyDescent="0.25">
      <c r="A28">
        <v>5</v>
      </c>
      <c r="B28">
        <v>30</v>
      </c>
      <c r="C28">
        <v>65</v>
      </c>
      <c r="D28">
        <f>Table2[[#This Row],[V1]]/100</f>
        <v>0.05</v>
      </c>
      <c r="E28">
        <f>Table2[[#This Row],[V2]]/100</f>
        <v>0.3</v>
      </c>
      <c r="F28">
        <f>Table2[[#This Row],[V3]]/100</f>
        <v>0.65</v>
      </c>
      <c r="G28">
        <f>SUM(Table2[[#This Row],[w1]:[w3]])</f>
        <v>1</v>
      </c>
      <c r="H2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9.1107675942086317</v>
      </c>
      <c r="I28" s="19">
        <f>Table2[[#This Row],[w1]]*$N$7+Table2[[#This Row],[w2]]*$N$10+Table2[[#This Row],[w3]]*$R$7</f>
        <v>0.9779495187499998</v>
      </c>
      <c r="J28" s="19"/>
      <c r="K28" s="46">
        <f>$N$3+ ('Step1 '!$C$1-$N$3)*H28/'Step1 '!$C$2</f>
        <v>1.0909976604492322</v>
      </c>
    </row>
    <row r="29" spans="1:14" x14ac:dyDescent="0.25">
      <c r="A29">
        <v>5</v>
      </c>
      <c r="B29">
        <v>35</v>
      </c>
      <c r="C29">
        <v>60</v>
      </c>
      <c r="D29">
        <f>Table2[[#This Row],[V1]]/100</f>
        <v>0.05</v>
      </c>
      <c r="E29">
        <f>Table2[[#This Row],[V2]]/100</f>
        <v>0.35</v>
      </c>
      <c r="F29">
        <f>Table2[[#This Row],[V3]]/100</f>
        <v>0.6</v>
      </c>
      <c r="G29">
        <f>SUM(Table2[[#This Row],[w1]:[w3]])</f>
        <v>1</v>
      </c>
      <c r="H2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8.7223307799643095</v>
      </c>
      <c r="I29" s="19">
        <f>Table2[[#This Row],[w1]]*$N$7+Table2[[#This Row],[w2]]*$N$10+Table2[[#This Row],[w3]]*$R$7</f>
        <v>0.96527763333333305</v>
      </c>
      <c r="J29" s="19"/>
      <c r="K29" s="46">
        <f>$N$3+ ('Step1 '!$C$1-$N$3)*H29/'Step1 '!$C$2</f>
        <v>1.063668778816774</v>
      </c>
    </row>
    <row r="30" spans="1:14" x14ac:dyDescent="0.25">
      <c r="A30">
        <v>5</v>
      </c>
      <c r="B30">
        <v>40</v>
      </c>
      <c r="C30">
        <v>55</v>
      </c>
      <c r="D30">
        <f>Table2[[#This Row],[V1]]/100</f>
        <v>0.05</v>
      </c>
      <c r="E30">
        <f>Table2[[#This Row],[V2]]/100</f>
        <v>0.4</v>
      </c>
      <c r="F30">
        <f>Table2[[#This Row],[V3]]/100</f>
        <v>0.55000000000000004</v>
      </c>
      <c r="G30">
        <f>SUM(Table2[[#This Row],[w1]:[w3]])</f>
        <v>1</v>
      </c>
      <c r="H3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8.3692379397561201</v>
      </c>
      <c r="I30" s="19">
        <f>Table2[[#This Row],[w1]]*$N$7+Table2[[#This Row],[w2]]*$N$10+Table2[[#This Row],[w3]]*$R$7</f>
        <v>0.95260574791666652</v>
      </c>
      <c r="J30" s="19"/>
      <c r="K30" s="46">
        <f>$N$3+ ('Step1 '!$C$1-$N$3)*H30/'Step1 '!$C$2</f>
        <v>1.0388265597441797</v>
      </c>
    </row>
    <row r="31" spans="1:14" x14ac:dyDescent="0.25">
      <c r="A31">
        <v>5</v>
      </c>
      <c r="B31">
        <v>45</v>
      </c>
      <c r="C31">
        <v>50</v>
      </c>
      <c r="D31">
        <f>Table2[[#This Row],[V1]]/100</f>
        <v>0.05</v>
      </c>
      <c r="E31">
        <f>Table2[[#This Row],[V2]]/100</f>
        <v>0.45</v>
      </c>
      <c r="F31">
        <f>Table2[[#This Row],[V3]]/100</f>
        <v>0.5</v>
      </c>
      <c r="G31">
        <f>SUM(Table2[[#This Row],[w1]:[w3]])</f>
        <v>1</v>
      </c>
      <c r="H3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8.0561376929086439</v>
      </c>
      <c r="I31" s="19">
        <f>Table2[[#This Row],[w1]]*$N$7+Table2[[#This Row],[w2]]*$N$10+Table2[[#This Row],[w3]]*$R$7</f>
        <v>0.93993386249999977</v>
      </c>
      <c r="J31" s="19"/>
      <c r="K31" s="46">
        <f>$N$3+ ('Step1 '!$C$1-$N$3)*H31/'Step1 '!$C$2</f>
        <v>1.0167980617455166</v>
      </c>
    </row>
    <row r="32" spans="1:14" x14ac:dyDescent="0.25">
      <c r="A32">
        <v>5</v>
      </c>
      <c r="B32">
        <v>50</v>
      </c>
      <c r="C32">
        <v>45</v>
      </c>
      <c r="D32">
        <f>Table2[[#This Row],[V1]]/100</f>
        <v>0.05</v>
      </c>
      <c r="E32">
        <f>Table2[[#This Row],[V2]]/100</f>
        <v>0.5</v>
      </c>
      <c r="F32">
        <f>Table2[[#This Row],[V3]]/100</f>
        <v>0.45</v>
      </c>
      <c r="G32">
        <f>SUM(Table2[[#This Row],[w1]:[w3]])</f>
        <v>1</v>
      </c>
      <c r="H3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7.7878550795237143</v>
      </c>
      <c r="I32" s="19">
        <f>Table2[[#This Row],[w1]]*$N$7+Table2[[#This Row],[w2]]*$N$10+Table2[[#This Row],[w3]]*$R$7</f>
        <v>0.92726197708333302</v>
      </c>
      <c r="J32" s="19"/>
      <c r="K32" s="46">
        <f>$N$3+ ('Step1 '!$C$1-$N$3)*H32/'Step1 '!$C$2</f>
        <v>0.99792275560465304</v>
      </c>
    </row>
    <row r="33" spans="1:13" x14ac:dyDescent="0.25">
      <c r="A33">
        <v>5</v>
      </c>
      <c r="B33">
        <v>55</v>
      </c>
      <c r="C33">
        <v>40</v>
      </c>
      <c r="D33">
        <f>Table2[[#This Row],[V1]]/100</f>
        <v>0.05</v>
      </c>
      <c r="E33">
        <f>Table2[[#This Row],[V2]]/100</f>
        <v>0.55000000000000004</v>
      </c>
      <c r="F33">
        <f>Table2[[#This Row],[V3]]/100</f>
        <v>0.4</v>
      </c>
      <c r="G33">
        <f>SUM(Table2[[#This Row],[w1]:[w3]])</f>
        <v>1</v>
      </c>
      <c r="H3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7.5691571743446415</v>
      </c>
      <c r="I33" s="19">
        <f>Table2[[#This Row],[w1]]*$N$7+Table2[[#This Row],[w2]]*$N$10+Table2[[#This Row],[w3]]*$R$7</f>
        <v>0.91459009166666638</v>
      </c>
      <c r="J33" s="19"/>
      <c r="K33" s="46">
        <f>$N$3+ ('Step1 '!$C$1-$N$3)*H33/'Step1 '!$C$2</f>
        <v>0.98253603389154032</v>
      </c>
    </row>
    <row r="34" spans="1:13" x14ac:dyDescent="0.25">
      <c r="A34">
        <v>5</v>
      </c>
      <c r="B34">
        <v>60</v>
      </c>
      <c r="C34">
        <v>35</v>
      </c>
      <c r="D34">
        <f>Table2[[#This Row],[V1]]/100</f>
        <v>0.05</v>
      </c>
      <c r="E34">
        <f>Table2[[#This Row],[V2]]/100</f>
        <v>0.6</v>
      </c>
      <c r="F34">
        <f>Table2[[#This Row],[V3]]/100</f>
        <v>0.35</v>
      </c>
      <c r="G34">
        <f>SUM(Table2[[#This Row],[w1]:[w3]])</f>
        <v>1</v>
      </c>
      <c r="H3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7.4044388914969321</v>
      </c>
      <c r="I34" s="19">
        <f>Table2[[#This Row],[w1]]*$N$7+Table2[[#This Row],[w2]]*$N$10+Table2[[#This Row],[w3]]*$R$7</f>
        <v>0.90191820624999952</v>
      </c>
      <c r="J34" s="19"/>
      <c r="K34" s="46">
        <f>$N$3+ ('Step1 '!$C$1-$N$3)*H34/'Step1 '!$C$2</f>
        <v>0.97094710542345908</v>
      </c>
    </row>
    <row r="35" spans="1:13" x14ac:dyDescent="0.25">
      <c r="A35">
        <v>5</v>
      </c>
      <c r="B35">
        <v>65</v>
      </c>
      <c r="C35">
        <v>30</v>
      </c>
      <c r="D35">
        <f>Table2[[#This Row],[V1]]/100</f>
        <v>0.05</v>
      </c>
      <c r="E35">
        <f>Table2[[#This Row],[V2]]/100</f>
        <v>0.65</v>
      </c>
      <c r="F35">
        <f>Table2[[#This Row],[V3]]/100</f>
        <v>0.3</v>
      </c>
      <c r="G35">
        <f>SUM(Table2[[#This Row],[w1]:[w3]])</f>
        <v>1</v>
      </c>
      <c r="H3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7.2973564832479871</v>
      </c>
      <c r="I35" s="19">
        <f>Table2[[#This Row],[w1]]*$N$7+Table2[[#This Row],[w2]]*$N$10+Table2[[#This Row],[w3]]*$R$7</f>
        <v>0.88924632083333299</v>
      </c>
      <c r="J35" s="19"/>
      <c r="K35" s="46">
        <f>$N$3+ ('Step1 '!$C$1-$N$3)*H35/'Step1 '!$C$2</f>
        <v>0.96341320968382083</v>
      </c>
    </row>
    <row r="36" spans="1:13" x14ac:dyDescent="0.25">
      <c r="A36">
        <v>5</v>
      </c>
      <c r="B36">
        <v>70</v>
      </c>
      <c r="C36">
        <v>25</v>
      </c>
      <c r="D36">
        <f>Table2[[#This Row],[V1]]/100</f>
        <v>0.05</v>
      </c>
      <c r="E36">
        <f>Table2[[#This Row],[V2]]/100</f>
        <v>0.7</v>
      </c>
      <c r="F36">
        <f>Table2[[#This Row],[V3]]/100</f>
        <v>0.25</v>
      </c>
      <c r="G36">
        <f>SUM(Table2[[#This Row],[w1]:[w3]])</f>
        <v>1</v>
      </c>
      <c r="H3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7.2504640794227964</v>
      </c>
      <c r="I36" s="19">
        <f>Table2[[#This Row],[w1]]*$N$7+Table2[[#This Row],[w2]]*$N$10+Table2[[#This Row],[w3]]*$R$7</f>
        <v>0.87657443541666624</v>
      </c>
      <c r="J36" s="19"/>
      <c r="K36" s="46">
        <f>$N$3+ ('Step1 '!$C$1-$N$3)*H36/'Step1 '!$C$2</f>
        <v>0.96011404516952736</v>
      </c>
    </row>
    <row r="37" spans="1:13" x14ac:dyDescent="0.25">
      <c r="A37">
        <v>5</v>
      </c>
      <c r="B37">
        <v>75</v>
      </c>
      <c r="C37">
        <v>20</v>
      </c>
      <c r="D37">
        <f>Table2[[#This Row],[V1]]/100</f>
        <v>0.05</v>
      </c>
      <c r="E37">
        <f>Table2[[#This Row],[V2]]/100</f>
        <v>0.75</v>
      </c>
      <c r="F37">
        <f>Table2[[#This Row],[V3]]/100</f>
        <v>0.2</v>
      </c>
      <c r="G37">
        <f>SUM(Table2[[#This Row],[w1]:[w3]])</f>
        <v>1</v>
      </c>
      <c r="H3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7.2649272858101508</v>
      </c>
      <c r="I37" s="19">
        <f>Table2[[#This Row],[w1]]*$N$7+Table2[[#This Row],[w2]]*$N$10+Table2[[#This Row],[w3]]*$R$7</f>
        <v>0.8639025499999996</v>
      </c>
      <c r="J37" s="19"/>
      <c r="K37" s="46">
        <f>$N$3+ ('Step1 '!$C$1-$N$3)*H37/'Step1 '!$C$2</f>
        <v>0.96113161930485957</v>
      </c>
    </row>
    <row r="38" spans="1:13" x14ac:dyDescent="0.25">
      <c r="A38">
        <v>5</v>
      </c>
      <c r="B38">
        <v>80</v>
      </c>
      <c r="C38">
        <v>15</v>
      </c>
      <c r="D38">
        <f>Table2[[#This Row],[V1]]/100</f>
        <v>0.05</v>
      </c>
      <c r="E38">
        <f>Table2[[#This Row],[V2]]/100</f>
        <v>0.8</v>
      </c>
      <c r="F38">
        <f>Table2[[#This Row],[V3]]/100</f>
        <v>0.15</v>
      </c>
      <c r="G38">
        <f>SUM(Table2[[#This Row],[w1]:[w3]])</f>
        <v>1</v>
      </c>
      <c r="H3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7.3403834332361111</v>
      </c>
      <c r="I38" s="19">
        <f>Table2[[#This Row],[w1]]*$N$7+Table2[[#This Row],[w2]]*$N$10+Table2[[#This Row],[w3]]*$R$7</f>
        <v>0.85123066458333296</v>
      </c>
      <c r="J38" s="19"/>
      <c r="K38" s="46">
        <f>$N$3+ ('Step1 '!$C$1-$N$3)*H38/'Step1 '!$C$2</f>
        <v>0.96644041611768761</v>
      </c>
    </row>
    <row r="39" spans="1:13" x14ac:dyDescent="0.25">
      <c r="A39">
        <v>5</v>
      </c>
      <c r="B39">
        <v>85</v>
      </c>
      <c r="C39">
        <v>10</v>
      </c>
      <c r="D39">
        <f>Table2[[#This Row],[V1]]/100</f>
        <v>0.05</v>
      </c>
      <c r="E39">
        <f>Table2[[#This Row],[V2]]/100</f>
        <v>0.85</v>
      </c>
      <c r="F39">
        <f>Table2[[#This Row],[V3]]/100</f>
        <v>0.1</v>
      </c>
      <c r="G39">
        <f>SUM(Table2[[#This Row],[w1]:[w3]])</f>
        <v>1</v>
      </c>
      <c r="H3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7.4749856724581889</v>
      </c>
      <c r="I39" s="19">
        <f>Table2[[#This Row],[w1]]*$N$7+Table2[[#This Row],[w2]]*$N$10+Table2[[#This Row],[w3]]*$R$7</f>
        <v>0.83855877916666621</v>
      </c>
      <c r="J39" s="19"/>
      <c r="K39" s="46">
        <f>$N$3+ ('Step1 '!$C$1-$N$3)*H39/'Step1 '!$C$2</f>
        <v>0.97591049858224577</v>
      </c>
    </row>
    <row r="40" spans="1:13" x14ac:dyDescent="0.25">
      <c r="A40">
        <v>5</v>
      </c>
      <c r="B40">
        <v>90</v>
      </c>
      <c r="C40">
        <v>5</v>
      </c>
      <c r="D40">
        <f>Table2[[#This Row],[V1]]/100</f>
        <v>0.05</v>
      </c>
      <c r="E40">
        <f>Table2[[#This Row],[V2]]/100</f>
        <v>0.9</v>
      </c>
      <c r="F40">
        <f>Table2[[#This Row],[V3]]/100</f>
        <v>0.05</v>
      </c>
      <c r="G40">
        <f>SUM(Table2[[#This Row],[w1]:[w3]])</f>
        <v>1</v>
      </c>
      <c r="H4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7.6656189598552951</v>
      </c>
      <c r="I40" s="19">
        <f>Table2[[#This Row],[w1]]*$N$7+Table2[[#This Row],[w2]]*$N$10+Table2[[#This Row],[w3]]*$R$7</f>
        <v>0.82588689374999968</v>
      </c>
      <c r="J40" s="19"/>
      <c r="K40" s="46">
        <f>$N$3+ ('Step1 '!$C$1-$N$3)*H40/'Step1 '!$C$2</f>
        <v>0.98932270452008209</v>
      </c>
    </row>
    <row r="41" spans="1:13" x14ac:dyDescent="0.25">
      <c r="A41">
        <v>5</v>
      </c>
      <c r="B41">
        <v>95</v>
      </c>
      <c r="C41">
        <v>0</v>
      </c>
      <c r="D41">
        <f>Table2[[#This Row],[V1]]/100</f>
        <v>0.05</v>
      </c>
      <c r="E41">
        <f>Table2[[#This Row],[V2]]/100</f>
        <v>0.95</v>
      </c>
      <c r="F41">
        <f>Table2[[#This Row],[V3]]/100</f>
        <v>0</v>
      </c>
      <c r="G41">
        <f>SUM(Table2[[#This Row],[w1]:[w3]])</f>
        <v>1</v>
      </c>
      <c r="H4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7.9082323340706475</v>
      </c>
      <c r="I41" s="19">
        <f>Table2[[#This Row],[w1]]*$N$7+Table2[[#This Row],[w2]]*$N$10+Table2[[#This Row],[w3]]*$R$7</f>
        <v>0.81321500833333293</v>
      </c>
      <c r="J41" s="19"/>
      <c r="K41" s="46">
        <f>$N$3+ ('Step1 '!$C$1-$N$3)*H41/'Step1 '!$C$2</f>
        <v>1.0063920242736217</v>
      </c>
    </row>
    <row r="42" spans="1:13" x14ac:dyDescent="0.25">
      <c r="A42">
        <v>10</v>
      </c>
      <c r="B42">
        <v>0</v>
      </c>
      <c r="C42">
        <v>90</v>
      </c>
      <c r="D42">
        <f>Table2[[#This Row],[V1]]/100</f>
        <v>0.1</v>
      </c>
      <c r="E42">
        <f>Table2[[#This Row],[V2]]/100</f>
        <v>0</v>
      </c>
      <c r="F42">
        <f>Table2[[#This Row],[V3]]/100</f>
        <v>0.9</v>
      </c>
      <c r="G42">
        <f>SUM(Table2[[#This Row],[w1]:[w3]])</f>
        <v>1</v>
      </c>
      <c r="H4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11.376605755229573</v>
      </c>
      <c r="I42" s="19">
        <f>Table2[[#This Row],[w1]]*$N$7+Table2[[#This Row],[w2]]*$N$10+Table2[[#This Row],[w3]]*$R$7</f>
        <v>1.0291846208333331</v>
      </c>
      <c r="J42" s="19"/>
      <c r="K42" s="46">
        <f>$N$3+ ('Step1 '!$C$1-$N$3)*H42/'Step1 '!$C$2</f>
        <v>1.2504130933589959</v>
      </c>
    </row>
    <row r="43" spans="1:13" x14ac:dyDescent="0.25">
      <c r="A43">
        <v>10</v>
      </c>
      <c r="B43">
        <v>5</v>
      </c>
      <c r="C43">
        <v>85</v>
      </c>
      <c r="D43">
        <f>Table2[[#This Row],[V1]]/100</f>
        <v>0.1</v>
      </c>
      <c r="E43">
        <f>Table2[[#This Row],[V2]]/100</f>
        <v>0.05</v>
      </c>
      <c r="F43">
        <f>Table2[[#This Row],[V3]]/100</f>
        <v>0.85</v>
      </c>
      <c r="G43">
        <f>SUM(Table2[[#This Row],[w1]:[w3]])</f>
        <v>1</v>
      </c>
      <c r="H4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10.856455158073413</v>
      </c>
      <c r="I43" s="19">
        <f>Table2[[#This Row],[w1]]*$N$7+Table2[[#This Row],[w2]]*$N$10+Table2[[#This Row],[w3]]*$R$7</f>
        <v>1.0165127354166663</v>
      </c>
      <c r="J43" s="19"/>
      <c r="K43" s="46">
        <f>$N$3+ ('Step1 '!$C$1-$N$3)*H43/'Step1 '!$C$2</f>
        <v>1.2138173496512636</v>
      </c>
    </row>
    <row r="44" spans="1:13" x14ac:dyDescent="0.25">
      <c r="A44">
        <v>10</v>
      </c>
      <c r="B44">
        <v>10</v>
      </c>
      <c r="C44">
        <v>80</v>
      </c>
      <c r="D44">
        <f>Table2[[#This Row],[V1]]/100</f>
        <v>0.1</v>
      </c>
      <c r="E44">
        <f>Table2[[#This Row],[V2]]/100</f>
        <v>0.1</v>
      </c>
      <c r="F44">
        <f>Table2[[#This Row],[V3]]/100</f>
        <v>0.8</v>
      </c>
      <c r="G44">
        <f>SUM(Table2[[#This Row],[w1]:[w3]])</f>
        <v>1</v>
      </c>
      <c r="H4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10.353270018033182</v>
      </c>
      <c r="I44" s="19">
        <f>Table2[[#This Row],[w1]]*$N$7+Table2[[#This Row],[w2]]*$N$10+Table2[[#This Row],[w3]]*$R$7</f>
        <v>1.0038408499999998</v>
      </c>
      <c r="J44" s="19"/>
      <c r="K44" s="46">
        <f>$N$3+ ('Step1 '!$C$1-$N$3)*H44/'Step1 '!$C$2</f>
        <v>1.1784152285672362</v>
      </c>
    </row>
    <row r="45" spans="1:13" x14ac:dyDescent="0.25">
      <c r="A45">
        <v>10</v>
      </c>
      <c r="B45">
        <v>15</v>
      </c>
      <c r="C45">
        <v>75</v>
      </c>
      <c r="D45">
        <f>Table2[[#This Row],[V1]]/100</f>
        <v>0.1</v>
      </c>
      <c r="E45">
        <f>Table2[[#This Row],[V2]]/100</f>
        <v>0.15</v>
      </c>
      <c r="F45">
        <f>Table2[[#This Row],[V3]]/100</f>
        <v>0.75</v>
      </c>
      <c r="G45">
        <f>SUM(Table2[[#This Row],[w1]:[w3]])</f>
        <v>1</v>
      </c>
      <c r="H4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9.8696455311759017</v>
      </c>
      <c r="I45" s="19">
        <f>Table2[[#This Row],[w1]]*$N$7+Table2[[#This Row],[w2]]*$N$10+Table2[[#This Row],[w3]]*$R$7</f>
        <v>0.99116896458333315</v>
      </c>
      <c r="J45" s="19"/>
      <c r="K45" s="46">
        <f>$N$3+ ('Step1 '!$C$1-$N$3)*H45/'Step1 '!$C$2</f>
        <v>1.1443893178625735</v>
      </c>
      <c r="M45" s="36" t="s">
        <v>51</v>
      </c>
    </row>
    <row r="46" spans="1:13" x14ac:dyDescent="0.25">
      <c r="A46">
        <v>10</v>
      </c>
      <c r="B46">
        <v>20</v>
      </c>
      <c r="C46">
        <v>70</v>
      </c>
      <c r="D46">
        <f>Table2[[#This Row],[V1]]/100</f>
        <v>0.1</v>
      </c>
      <c r="E46">
        <f>Table2[[#This Row],[V2]]/100</f>
        <v>0.2</v>
      </c>
      <c r="F46">
        <f>Table2[[#This Row],[V3]]/100</f>
        <v>0.7</v>
      </c>
      <c r="G46">
        <f>SUM(Table2[[#This Row],[w1]:[w3]])</f>
        <v>1</v>
      </c>
      <c r="H4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9.408598574364083</v>
      </c>
      <c r="I46" s="19">
        <f>Table2[[#This Row],[w1]]*$N$7+Table2[[#This Row],[w2]]*$N$10+Table2[[#This Row],[w3]]*$R$7</f>
        <v>0.97849707916666651</v>
      </c>
      <c r="J46" s="19"/>
      <c r="K46" s="46">
        <f>$N$3+ ('Step1 '!$C$1-$N$3)*H46/'Step1 '!$C$2</f>
        <v>1.1119518730899212</v>
      </c>
    </row>
    <row r="47" spans="1:13" x14ac:dyDescent="0.25">
      <c r="A47">
        <v>10</v>
      </c>
      <c r="B47">
        <v>25</v>
      </c>
      <c r="C47">
        <v>65</v>
      </c>
      <c r="D47">
        <f>Table2[[#This Row],[V1]]/100</f>
        <v>0.1</v>
      </c>
      <c r="E47">
        <f>Table2[[#This Row],[V2]]/100</f>
        <v>0.25</v>
      </c>
      <c r="F47">
        <f>Table2[[#This Row],[V3]]/100</f>
        <v>0.65</v>
      </c>
      <c r="G47">
        <f>SUM(Table2[[#This Row],[w1]:[w3]])</f>
        <v>1</v>
      </c>
      <c r="H4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8.9736097939291426</v>
      </c>
      <c r="I47" s="19">
        <f>Table2[[#This Row],[w1]]*$N$7+Table2[[#This Row],[w2]]*$N$10+Table2[[#This Row],[w3]]*$R$7</f>
        <v>0.96582519374999976</v>
      </c>
      <c r="J47" s="19"/>
      <c r="K47" s="46">
        <f>$N$3+ ('Step1 '!$C$1-$N$3)*H47/'Step1 '!$C$2</f>
        <v>1.0813477787919061</v>
      </c>
    </row>
    <row r="48" spans="1:13" x14ac:dyDescent="0.25">
      <c r="A48">
        <v>10</v>
      </c>
      <c r="B48">
        <v>30</v>
      </c>
      <c r="C48">
        <v>60</v>
      </c>
      <c r="D48">
        <f>Table2[[#This Row],[V1]]/100</f>
        <v>0.1</v>
      </c>
      <c r="E48">
        <f>Table2[[#This Row],[V2]]/100</f>
        <v>0.3</v>
      </c>
      <c r="F48">
        <f>Table2[[#This Row],[V3]]/100</f>
        <v>0.6</v>
      </c>
      <c r="G48">
        <f>SUM(Table2[[#This Row],[w1]:[w3]])</f>
        <v>1</v>
      </c>
      <c r="H4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8.5686486514260753</v>
      </c>
      <c r="I48" s="19">
        <f>Table2[[#This Row],[w1]]*$N$7+Table2[[#This Row],[w2]]*$N$10+Table2[[#This Row],[w3]]*$R$7</f>
        <v>0.953153308333333</v>
      </c>
      <c r="J48" s="19"/>
      <c r="K48" s="46">
        <f>$N$3+ ('Step1 '!$C$1-$N$3)*H48/'Step1 '!$C$2</f>
        <v>1.0528563106216149</v>
      </c>
    </row>
    <row r="49" spans="1:11" x14ac:dyDescent="0.25">
      <c r="A49">
        <v>10</v>
      </c>
      <c r="B49">
        <v>35</v>
      </c>
      <c r="C49">
        <v>55</v>
      </c>
      <c r="D49">
        <f>Table2[[#This Row],[V1]]/100</f>
        <v>0.1</v>
      </c>
      <c r="E49">
        <f>Table2[[#This Row],[V2]]/100</f>
        <v>0.35</v>
      </c>
      <c r="F49">
        <f>Table2[[#This Row],[V3]]/100</f>
        <v>0.55000000000000004</v>
      </c>
      <c r="G49">
        <f>SUM(Table2[[#This Row],[w1]:[w3]])</f>
        <v>1</v>
      </c>
      <c r="H4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8.1981661404963297</v>
      </c>
      <c r="I49" s="19">
        <f>Table2[[#This Row],[w1]]*$N$7+Table2[[#This Row],[w2]]*$N$10+Table2[[#This Row],[w3]]*$R$7</f>
        <v>0.94048142291666648</v>
      </c>
      <c r="J49" s="19"/>
      <c r="K49" s="46">
        <f>$N$3+ ('Step1 '!$C$1-$N$3)*H49/'Step1 '!$C$2</f>
        <v>1.0267906229298029</v>
      </c>
    </row>
    <row r="50" spans="1:11" x14ac:dyDescent="0.25">
      <c r="A50">
        <v>10</v>
      </c>
      <c r="B50">
        <v>40</v>
      </c>
      <c r="C50">
        <v>50</v>
      </c>
      <c r="D50">
        <f>Table2[[#This Row],[V1]]/100</f>
        <v>0.1</v>
      </c>
      <c r="E50">
        <f>Table2[[#This Row],[V2]]/100</f>
        <v>0.4</v>
      </c>
      <c r="F50">
        <f>Table2[[#This Row],[V3]]/100</f>
        <v>0.5</v>
      </c>
      <c r="G50">
        <f>SUM(Table2[[#This Row],[w1]:[w3]])</f>
        <v>1</v>
      </c>
      <c r="H5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7.867034879831464</v>
      </c>
      <c r="I50" s="19">
        <f>Table2[[#This Row],[w1]]*$N$7+Table2[[#This Row],[w2]]*$N$10+Table2[[#This Row],[w3]]*$R$7</f>
        <v>0.92780953749999973</v>
      </c>
      <c r="J50" s="19"/>
      <c r="K50" s="46">
        <f>$N$3+ ('Step1 '!$C$1-$N$3)*H50/'Step1 '!$C$2</f>
        <v>1.0034935339421851</v>
      </c>
    </row>
    <row r="51" spans="1:11" x14ac:dyDescent="0.25">
      <c r="A51">
        <v>10</v>
      </c>
      <c r="B51">
        <v>45</v>
      </c>
      <c r="C51">
        <v>45</v>
      </c>
      <c r="D51">
        <f>Table2[[#This Row],[V1]]/100</f>
        <v>0.1</v>
      </c>
      <c r="E51">
        <f>Table2[[#This Row],[V2]]/100</f>
        <v>0.45</v>
      </c>
      <c r="F51">
        <f>Table2[[#This Row],[V3]]/100</f>
        <v>0.45</v>
      </c>
      <c r="G51">
        <f>SUM(Table2[[#This Row],[w1]:[w3]])</f>
        <v>1</v>
      </c>
      <c r="H5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7.5804135053108377</v>
      </c>
      <c r="I51" s="19">
        <f>Table2[[#This Row],[w1]]*$N$7+Table2[[#This Row],[w2]]*$N$10+Table2[[#This Row],[w3]]*$R$7</f>
        <v>0.91513765208333298</v>
      </c>
      <c r="J51" s="19"/>
      <c r="K51" s="46">
        <f>$N$3+ ('Step1 '!$C$1-$N$3)*H51/'Step1 '!$C$2</f>
        <v>0.9833279849252996</v>
      </c>
    </row>
    <row r="52" spans="1:11" x14ac:dyDescent="0.25">
      <c r="A52">
        <v>10</v>
      </c>
      <c r="B52">
        <v>50</v>
      </c>
      <c r="C52">
        <v>40</v>
      </c>
      <c r="D52">
        <f>Table2[[#This Row],[V1]]/100</f>
        <v>0.1</v>
      </c>
      <c r="E52">
        <f>Table2[[#This Row],[V2]]/100</f>
        <v>0.5</v>
      </c>
      <c r="F52">
        <f>Table2[[#This Row],[V3]]/100</f>
        <v>0.4</v>
      </c>
      <c r="G52">
        <f>SUM(Table2[[#This Row],[w1]:[w3]])</f>
        <v>1</v>
      </c>
      <c r="H5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7.34351560223186</v>
      </c>
      <c r="I52" s="19">
        <f>Table2[[#This Row],[w1]]*$N$7+Table2[[#This Row],[w2]]*$N$10+Table2[[#This Row],[w3]]*$R$7</f>
        <v>0.90246576666666634</v>
      </c>
      <c r="J52" s="19"/>
      <c r="K52" s="46">
        <f>$N$3+ ('Step1 '!$C$1-$N$3)*H52/'Step1 '!$C$2</f>
        <v>0.96666078316993076</v>
      </c>
    </row>
    <row r="53" spans="1:11" x14ac:dyDescent="0.25">
      <c r="A53">
        <v>10</v>
      </c>
      <c r="B53">
        <v>55</v>
      </c>
      <c r="C53">
        <v>35</v>
      </c>
      <c r="D53">
        <f>Table2[[#This Row],[V1]]/100</f>
        <v>0.1</v>
      </c>
      <c r="E53">
        <f>Table2[[#This Row],[V2]]/100</f>
        <v>0.55000000000000004</v>
      </c>
      <c r="F53">
        <f>Table2[[#This Row],[V3]]/100</f>
        <v>0.35</v>
      </c>
      <c r="G53">
        <f>SUM(Table2[[#This Row],[w1]:[w3]])</f>
        <v>1</v>
      </c>
      <c r="H5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7.1612774884552763</v>
      </c>
      <c r="I53" s="19">
        <f>Table2[[#This Row],[w1]]*$N$7+Table2[[#This Row],[w2]]*$N$10+Table2[[#This Row],[w3]]*$R$7</f>
        <v>0.8897938812499997</v>
      </c>
      <c r="J53" s="19"/>
      <c r="K53" s="46">
        <f>$N$3+ ('Step1 '!$C$1-$N$3)*H53/'Step1 '!$C$2</f>
        <v>0.95383922852400538</v>
      </c>
    </row>
    <row r="54" spans="1:11" x14ac:dyDescent="0.25">
      <c r="A54">
        <v>10</v>
      </c>
      <c r="B54">
        <v>60</v>
      </c>
      <c r="C54">
        <v>30</v>
      </c>
      <c r="D54">
        <f>Table2[[#This Row],[V1]]/100</f>
        <v>0.1</v>
      </c>
      <c r="E54">
        <f>Table2[[#This Row],[V2]]/100</f>
        <v>0.6</v>
      </c>
      <c r="F54">
        <f>Table2[[#This Row],[V3]]/100</f>
        <v>0.3</v>
      </c>
      <c r="G54">
        <f>SUM(Table2[[#This Row],[w1]:[w3]])</f>
        <v>1</v>
      </c>
      <c r="H5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7.0379464697310388</v>
      </c>
      <c r="I54" s="19">
        <f>Table2[[#This Row],[w1]]*$N$7+Table2[[#This Row],[w2]]*$N$10+Table2[[#This Row],[w3]]*$R$7</f>
        <v>0.87712199583333295</v>
      </c>
      <c r="J54" s="19"/>
      <c r="K54" s="46">
        <f>$N$3+ ('Step1 '!$C$1-$N$3)*H54/'Step1 '!$C$2</f>
        <v>0.94516214466190474</v>
      </c>
    </row>
    <row r="55" spans="1:11" x14ac:dyDescent="0.25">
      <c r="A55">
        <v>10</v>
      </c>
      <c r="B55">
        <v>65</v>
      </c>
      <c r="C55">
        <v>25</v>
      </c>
      <c r="D55">
        <f>Table2[[#This Row],[V1]]/100</f>
        <v>0.1</v>
      </c>
      <c r="E55">
        <f>Table2[[#This Row],[V2]]/100</f>
        <v>0.65</v>
      </c>
      <c r="F55">
        <f>Table2[[#This Row],[V3]]/100</f>
        <v>0.25</v>
      </c>
      <c r="G55">
        <f>SUM(Table2[[#This Row],[w1]:[w3]])</f>
        <v>1</v>
      </c>
      <c r="H5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6.9766472701902176</v>
      </c>
      <c r="I55" s="19">
        <f>Table2[[#This Row],[w1]]*$N$7+Table2[[#This Row],[w2]]*$N$10+Table2[[#This Row],[w3]]*$R$7</f>
        <v>0.86445011041666642</v>
      </c>
      <c r="J55" s="19"/>
      <c r="K55" s="46">
        <f>$N$3+ ('Step1 '!$C$1-$N$3)*H55/'Step1 '!$C$2</f>
        <v>0.94084937484456765</v>
      </c>
    </row>
    <row r="56" spans="1:11" x14ac:dyDescent="0.25">
      <c r="A56">
        <v>10</v>
      </c>
      <c r="B56">
        <v>70</v>
      </c>
      <c r="C56">
        <v>20</v>
      </c>
      <c r="D56">
        <f>Table2[[#This Row],[V1]]/100</f>
        <v>0.1</v>
      </c>
      <c r="E56">
        <f>Table2[[#This Row],[V2]]/100</f>
        <v>0.7</v>
      </c>
      <c r="F56">
        <f>Table2[[#This Row],[V3]]/100</f>
        <v>0.2</v>
      </c>
      <c r="G56">
        <f>SUM(Table2[[#This Row],[w1]:[w3]])</f>
        <v>1</v>
      </c>
      <c r="H5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6.9790146247314429</v>
      </c>
      <c r="I56" s="19">
        <f>Table2[[#This Row],[w1]]*$N$7+Table2[[#This Row],[w2]]*$N$10+Table2[[#This Row],[w3]]*$R$7</f>
        <v>0.85177822499999967</v>
      </c>
      <c r="J56" s="19"/>
      <c r="K56" s="46">
        <f>$N$3+ ('Step1 '!$C$1-$N$3)*H56/'Step1 '!$C$2</f>
        <v>0.94101593256944516</v>
      </c>
    </row>
    <row r="57" spans="1:11" x14ac:dyDescent="0.25">
      <c r="A57">
        <v>10</v>
      </c>
      <c r="B57">
        <v>75</v>
      </c>
      <c r="C57">
        <v>15</v>
      </c>
      <c r="D57">
        <f>Table2[[#This Row],[V1]]/100</f>
        <v>0.1</v>
      </c>
      <c r="E57">
        <f>Table2[[#This Row],[V2]]/100</f>
        <v>0.75</v>
      </c>
      <c r="F57">
        <f>Table2[[#This Row],[V3]]/100</f>
        <v>0.15</v>
      </c>
      <c r="G57">
        <f>SUM(Table2[[#This Row],[w1]:[w3]])</f>
        <v>1</v>
      </c>
      <c r="H5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7.0449843512592603</v>
      </c>
      <c r="I57" s="19">
        <f>Table2[[#This Row],[w1]]*$N$7+Table2[[#This Row],[w2]]*$N$10+Table2[[#This Row],[w3]]*$R$7</f>
        <v>0.83910633958333292</v>
      </c>
      <c r="J57" s="19"/>
      <c r="K57" s="46">
        <f>$N$3+ ('Step1 '!$C$1-$N$3)*H57/'Step1 '!$C$2</f>
        <v>0.9456573022375383</v>
      </c>
    </row>
    <row r="58" spans="1:11" x14ac:dyDescent="0.25">
      <c r="A58">
        <v>10</v>
      </c>
      <c r="B58">
        <v>80</v>
      </c>
      <c r="C58">
        <v>10</v>
      </c>
      <c r="D58">
        <f>Table2[[#This Row],[V1]]/100</f>
        <v>0.1</v>
      </c>
      <c r="E58">
        <f>Table2[[#This Row],[V2]]/100</f>
        <v>0.8</v>
      </c>
      <c r="F58">
        <f>Table2[[#This Row],[V3]]/100</f>
        <v>0.1</v>
      </c>
      <c r="G58">
        <f>SUM(Table2[[#This Row],[w1]:[w3]])</f>
        <v>1</v>
      </c>
      <c r="H5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7.1728017722832744</v>
      </c>
      <c r="I58" s="19">
        <f>Table2[[#This Row],[w1]]*$N$7+Table2[[#This Row],[w2]]*$N$10+Table2[[#This Row],[w3]]*$R$7</f>
        <v>0.82643445416666639</v>
      </c>
      <c r="J58" s="19"/>
      <c r="K58" s="46">
        <f>$N$3+ ('Step1 '!$C$1-$N$3)*H58/'Step1 '!$C$2</f>
        <v>0.95465003166388529</v>
      </c>
    </row>
    <row r="59" spans="1:11" x14ac:dyDescent="0.25">
      <c r="A59">
        <v>10</v>
      </c>
      <c r="B59">
        <v>85</v>
      </c>
      <c r="C59">
        <v>5</v>
      </c>
      <c r="D59">
        <f>Table2[[#This Row],[V1]]/100</f>
        <v>0.1</v>
      </c>
      <c r="E59">
        <f>Table2[[#This Row],[V2]]/100</f>
        <v>0.85</v>
      </c>
      <c r="F59">
        <f>Table2[[#This Row],[V3]]/100</f>
        <v>0.05</v>
      </c>
      <c r="G59">
        <f>SUM(Table2[[#This Row],[w1]:[w3]])</f>
        <v>1</v>
      </c>
      <c r="H5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7.3592450290204381</v>
      </c>
      <c r="I59" s="19">
        <f>Table2[[#This Row],[w1]]*$N$7+Table2[[#This Row],[w2]]*$N$10+Table2[[#This Row],[w3]]*$R$7</f>
        <v>0.81376256874999964</v>
      </c>
      <c r="J59" s="19"/>
      <c r="K59" s="46">
        <f>$N$3+ ('Step1 '!$C$1-$N$3)*H59/'Step1 '!$C$2</f>
        <v>0.96776744357668876</v>
      </c>
    </row>
    <row r="60" spans="1:11" x14ac:dyDescent="0.25">
      <c r="A60">
        <v>10</v>
      </c>
      <c r="B60">
        <v>90</v>
      </c>
      <c r="C60">
        <v>0</v>
      </c>
      <c r="D60">
        <f>Table2[[#This Row],[V1]]/100</f>
        <v>0.1</v>
      </c>
      <c r="E60">
        <f>Table2[[#This Row],[V2]]/100</f>
        <v>0.9</v>
      </c>
      <c r="F60">
        <f>Table2[[#This Row],[V3]]/100</f>
        <v>0</v>
      </c>
      <c r="G60">
        <f>SUM(Table2[[#This Row],[w1]:[w3]])</f>
        <v>1</v>
      </c>
      <c r="H6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7.6000007176028435</v>
      </c>
      <c r="I60" s="19">
        <f>Table2[[#This Row],[w1]]*$N$7+Table2[[#This Row],[w2]]*$N$10+Table2[[#This Row],[w3]]*$R$7</f>
        <v>0.801090683333333</v>
      </c>
      <c r="J60" s="19"/>
      <c r="K60" s="46">
        <f>$N$3+ ('Step1 '!$C$1-$N$3)*H60/'Step1 '!$C$2</f>
        <v>0.9847060638987859</v>
      </c>
    </row>
    <row r="61" spans="1:11" x14ac:dyDescent="0.25">
      <c r="A61">
        <v>15</v>
      </c>
      <c r="B61">
        <v>0</v>
      </c>
      <c r="C61">
        <v>85</v>
      </c>
      <c r="D61">
        <f>Table2[[#This Row],[V1]]/100</f>
        <v>0.15</v>
      </c>
      <c r="E61">
        <f>Table2[[#This Row],[V2]]/100</f>
        <v>0</v>
      </c>
      <c r="F61">
        <f>Table2[[#This Row],[V3]]/100</f>
        <v>0.85</v>
      </c>
      <c r="G61">
        <f>SUM(Table2[[#This Row],[w1]:[w3]])</f>
        <v>1</v>
      </c>
      <c r="H6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10.791246694962659</v>
      </c>
      <c r="I61" s="19">
        <f>Table2[[#This Row],[w1]]*$N$7+Table2[[#This Row],[w2]]*$N$10+Table2[[#This Row],[w3]]*$R$7</f>
        <v>1.0043884104166665</v>
      </c>
      <c r="J61" s="19"/>
      <c r="K61" s="46">
        <f>$N$3+ ('Step1 '!$C$1-$N$3)*H61/'Step1 '!$C$2</f>
        <v>1.2092295394735513</v>
      </c>
    </row>
    <row r="62" spans="1:11" x14ac:dyDescent="0.25">
      <c r="A62">
        <v>15</v>
      </c>
      <c r="B62">
        <v>5</v>
      </c>
      <c r="C62">
        <v>80</v>
      </c>
      <c r="D62">
        <f>Table2[[#This Row],[V1]]/100</f>
        <v>0.15</v>
      </c>
      <c r="E62">
        <f>Table2[[#This Row],[V2]]/100</f>
        <v>0.05</v>
      </c>
      <c r="F62">
        <f>Table2[[#This Row],[V3]]/100</f>
        <v>0.8</v>
      </c>
      <c r="G62">
        <f>SUM(Table2[[#This Row],[w1]:[w3]])</f>
        <v>1</v>
      </c>
      <c r="H6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10.276268077324701</v>
      </c>
      <c r="I62" s="19">
        <f>Table2[[#This Row],[w1]]*$N$7+Table2[[#This Row],[w2]]*$N$10+Table2[[#This Row],[w3]]*$R$7</f>
        <v>0.99171652499999985</v>
      </c>
      <c r="J62" s="19"/>
      <c r="K62" s="46">
        <f>$N$3+ ('Step1 '!$C$1-$N$3)*H62/'Step1 '!$C$2</f>
        <v>1.1729976758381377</v>
      </c>
    </row>
    <row r="63" spans="1:11" x14ac:dyDescent="0.25">
      <c r="A63">
        <v>15</v>
      </c>
      <c r="B63">
        <v>10</v>
      </c>
      <c r="C63">
        <v>75</v>
      </c>
      <c r="D63">
        <f>Table2[[#This Row],[V1]]/100</f>
        <v>0.15</v>
      </c>
      <c r="E63">
        <f>Table2[[#This Row],[V2]]/100</f>
        <v>0.1</v>
      </c>
      <c r="F63">
        <f>Table2[[#This Row],[V3]]/100</f>
        <v>0.75</v>
      </c>
      <c r="G63">
        <f>SUM(Table2[[#This Row],[w1]:[w3]])</f>
        <v>1</v>
      </c>
      <c r="H6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9.779799964224857</v>
      </c>
      <c r="I63" s="19">
        <f>Table2[[#This Row],[w1]]*$N$7+Table2[[#This Row],[w2]]*$N$10+Table2[[#This Row],[w3]]*$R$7</f>
        <v>0.97904463958333321</v>
      </c>
      <c r="J63" s="19"/>
      <c r="K63" s="46">
        <f>$N$3+ ('Step1 '!$C$1-$N$3)*H63/'Step1 '!$C$2</f>
        <v>1.1380681382669089</v>
      </c>
    </row>
    <row r="64" spans="1:11" x14ac:dyDescent="0.25">
      <c r="A64">
        <v>15</v>
      </c>
      <c r="B64">
        <v>15</v>
      </c>
      <c r="C64">
        <v>70</v>
      </c>
      <c r="D64">
        <f>Table2[[#This Row],[V1]]/100</f>
        <v>0.15</v>
      </c>
      <c r="E64">
        <f>Table2[[#This Row],[V2]]/100</f>
        <v>0.15</v>
      </c>
      <c r="F64">
        <f>Table2[[#This Row],[V3]]/100</f>
        <v>0.7</v>
      </c>
      <c r="G64">
        <f>SUM(Table2[[#This Row],[w1]:[w3]])</f>
        <v>1</v>
      </c>
      <c r="H6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9.3048057723507647</v>
      </c>
      <c r="I64" s="19">
        <f>Table2[[#This Row],[w1]]*$N$7+Table2[[#This Row],[w2]]*$N$10+Table2[[#This Row],[w3]]*$R$7</f>
        <v>0.96637275416666646</v>
      </c>
      <c r="J64" s="19"/>
      <c r="K64" s="46">
        <f>$N$3+ ('Step1 '!$C$1-$N$3)*H64/'Step1 '!$C$2</f>
        <v>1.1046494210655387</v>
      </c>
    </row>
    <row r="65" spans="1:11" x14ac:dyDescent="0.25">
      <c r="A65">
        <v>15</v>
      </c>
      <c r="B65">
        <v>20</v>
      </c>
      <c r="C65">
        <v>65</v>
      </c>
      <c r="D65">
        <f>Table2[[#This Row],[V1]]/100</f>
        <v>0.15</v>
      </c>
      <c r="E65">
        <f>Table2[[#This Row],[V2]]/100</f>
        <v>0.2</v>
      </c>
      <c r="F65">
        <f>Table2[[#This Row],[V3]]/100</f>
        <v>0.65</v>
      </c>
      <c r="G65">
        <f>SUM(Table2[[#This Row],[w1]:[w3]])</f>
        <v>1</v>
      </c>
      <c r="H6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8.8547419476685754</v>
      </c>
      <c r="I65" s="19">
        <f>Table2[[#This Row],[w1]]*$N$7+Table2[[#This Row],[w2]]*$N$10+Table2[[#This Row],[w3]]*$R$7</f>
        <v>0.95370086874999982</v>
      </c>
      <c r="J65" s="19"/>
      <c r="K65" s="46">
        <f>$N$3+ ('Step1 '!$C$1-$N$3)*H65/'Step1 '!$C$2</f>
        <v>1.0729847061344391</v>
      </c>
    </row>
    <row r="66" spans="1:11" x14ac:dyDescent="0.25">
      <c r="A66">
        <v>15</v>
      </c>
      <c r="B66">
        <v>25</v>
      </c>
      <c r="C66">
        <v>60</v>
      </c>
      <c r="D66">
        <f>Table2[[#This Row],[V1]]/100</f>
        <v>0.15</v>
      </c>
      <c r="E66">
        <f>Table2[[#This Row],[V2]]/100</f>
        <v>0.25</v>
      </c>
      <c r="F66">
        <f>Table2[[#This Row],[V3]]/100</f>
        <v>0.6</v>
      </c>
      <c r="G66">
        <f>SUM(Table2[[#This Row],[w1]:[w3]])</f>
        <v>1</v>
      </c>
      <c r="H6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8.4336007040967083</v>
      </c>
      <c r="I66" s="19">
        <f>Table2[[#This Row],[w1]]*$N$7+Table2[[#This Row],[w2]]*$N$10+Table2[[#This Row],[w3]]*$R$7</f>
        <v>0.94102898333333307</v>
      </c>
      <c r="J66" s="19"/>
      <c r="K66" s="46">
        <f>$N$3+ ('Step1 '!$C$1-$N$3)*H66/'Step1 '!$C$2</f>
        <v>1.0433548698932156</v>
      </c>
    </row>
    <row r="67" spans="1:11" x14ac:dyDescent="0.25">
      <c r="A67">
        <v>15</v>
      </c>
      <c r="B67">
        <v>30</v>
      </c>
      <c r="C67">
        <v>55</v>
      </c>
      <c r="D67">
        <f>Table2[[#This Row],[V1]]/100</f>
        <v>0.15</v>
      </c>
      <c r="E67">
        <f>Table2[[#This Row],[V2]]/100</f>
        <v>0.3</v>
      </c>
      <c r="F67">
        <f>Table2[[#This Row],[V3]]/100</f>
        <v>0.55000000000000004</v>
      </c>
      <c r="G67">
        <f>SUM(Table2[[#This Row],[w1]:[w3]])</f>
        <v>1</v>
      </c>
      <c r="H6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8.0459249368975172</v>
      </c>
      <c r="I67" s="19">
        <f>Table2[[#This Row],[w1]]*$N$7+Table2[[#This Row],[w2]]*$N$10+Table2[[#This Row],[w3]]*$R$7</f>
        <v>0.92835709791666643</v>
      </c>
      <c r="J67" s="19"/>
      <c r="K67" s="46">
        <f>$N$3+ ('Step1 '!$C$1-$N$3)*H67/'Step1 '!$C$2</f>
        <v>1.0160795325280627</v>
      </c>
    </row>
    <row r="68" spans="1:11" x14ac:dyDescent="0.25">
      <c r="A68">
        <v>15</v>
      </c>
      <c r="B68">
        <v>35</v>
      </c>
      <c r="C68">
        <v>50</v>
      </c>
      <c r="D68">
        <f>Table2[[#This Row],[V1]]/100</f>
        <v>0.15</v>
      </c>
      <c r="E68">
        <f>Table2[[#This Row],[V2]]/100</f>
        <v>0.35</v>
      </c>
      <c r="F68">
        <f>Table2[[#This Row],[V3]]/100</f>
        <v>0.5</v>
      </c>
      <c r="G68">
        <f>SUM(Table2[[#This Row],[w1]:[w3]])</f>
        <v>1</v>
      </c>
      <c r="H6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7.6967731369677148</v>
      </c>
      <c r="I68" s="19">
        <f>Table2[[#This Row],[w1]]*$N$7+Table2[[#This Row],[w2]]*$N$10+Table2[[#This Row],[w3]]*$R$7</f>
        <v>0.91568521249999968</v>
      </c>
      <c r="J68" s="19"/>
      <c r="K68" s="46">
        <f>$N$3+ ('Step1 '!$C$1-$N$3)*H68/'Step1 '!$C$2</f>
        <v>0.99151458949967219</v>
      </c>
    </row>
    <row r="69" spans="1:11" x14ac:dyDescent="0.25">
      <c r="A69">
        <v>15</v>
      </c>
      <c r="B69">
        <v>40</v>
      </c>
      <c r="C69">
        <v>45</v>
      </c>
      <c r="D69">
        <f>Table2[[#This Row],[V1]]/100</f>
        <v>0.15</v>
      </c>
      <c r="E69">
        <f>Table2[[#This Row],[V2]]/100</f>
        <v>0.4</v>
      </c>
      <c r="F69">
        <f>Table2[[#This Row],[V3]]/100</f>
        <v>0.45</v>
      </c>
      <c r="G69">
        <f>SUM(Table2[[#This Row],[w1]:[w3]])</f>
        <v>1</v>
      </c>
      <c r="H6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7.391606505450361</v>
      </c>
      <c r="I69" s="19">
        <f>Table2[[#This Row],[w1]]*$N$7+Table2[[#This Row],[w2]]*$N$10+Table2[[#This Row],[w3]]*$R$7</f>
        <v>0.90301332708333315</v>
      </c>
      <c r="J69" s="19"/>
      <c r="K69" s="46">
        <f>$N$3+ ('Step1 '!$C$1-$N$3)*H69/'Step1 '!$C$2</f>
        <v>0.97004426937273358</v>
      </c>
    </row>
    <row r="70" spans="1:11" x14ac:dyDescent="0.25">
      <c r="A70">
        <v>15</v>
      </c>
      <c r="B70">
        <v>45</v>
      </c>
      <c r="C70">
        <v>40</v>
      </c>
      <c r="D70">
        <f>Table2[[#This Row],[V1]]/100</f>
        <v>0.15</v>
      </c>
      <c r="E70">
        <f>Table2[[#This Row],[V2]]/100</f>
        <v>0.45</v>
      </c>
      <c r="F70">
        <f>Table2[[#This Row],[V3]]/100</f>
        <v>0.4</v>
      </c>
      <c r="G70">
        <f>SUM(Table2[[#This Row],[w1]:[w3]])</f>
        <v>1</v>
      </c>
      <c r="H7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7.1360702153632225</v>
      </c>
      <c r="I70" s="19">
        <f>Table2[[#This Row],[w1]]*$N$7+Table2[[#This Row],[w2]]*$N$10+Table2[[#This Row],[w3]]*$R$7</f>
        <v>0.8903414416666664</v>
      </c>
      <c r="J70" s="19"/>
      <c r="K70" s="46">
        <f>$N$3+ ('Step1 '!$C$1-$N$3)*H70/'Step1 '!$C$2</f>
        <v>0.95206574424716117</v>
      </c>
    </row>
    <row r="71" spans="1:11" x14ac:dyDescent="0.25">
      <c r="A71">
        <v>15</v>
      </c>
      <c r="B71">
        <v>50</v>
      </c>
      <c r="C71">
        <v>35</v>
      </c>
      <c r="D71">
        <f>Table2[[#This Row],[V1]]/100</f>
        <v>0.15</v>
      </c>
      <c r="E71">
        <f>Table2[[#This Row],[V2]]/100</f>
        <v>0.5</v>
      </c>
      <c r="F71">
        <f>Table2[[#This Row],[V3]]/100</f>
        <v>0.35</v>
      </c>
      <c r="G71">
        <f>SUM(Table2[[#This Row],[w1]:[w3]])</f>
        <v>1</v>
      </c>
      <c r="H7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6.9356521599256853</v>
      </c>
      <c r="I71" s="19">
        <f>Table2[[#This Row],[w1]]*$N$7+Table2[[#This Row],[w2]]*$N$10+Table2[[#This Row],[w3]]*$R$7</f>
        <v>0.87766955624999965</v>
      </c>
      <c r="J71" s="19"/>
      <c r="K71" s="46">
        <f>$N$3+ ('Step1 '!$C$1-$N$3)*H71/'Step1 '!$C$2</f>
        <v>0.93796512063681814</v>
      </c>
    </row>
    <row r="72" spans="1:11" x14ac:dyDescent="0.25">
      <c r="A72">
        <v>15</v>
      </c>
      <c r="B72">
        <v>55</v>
      </c>
      <c r="C72">
        <v>30</v>
      </c>
      <c r="D72">
        <f>Table2[[#This Row],[V1]]/100</f>
        <v>0.15</v>
      </c>
      <c r="E72">
        <f>Table2[[#This Row],[V2]]/100</f>
        <v>0.55000000000000004</v>
      </c>
      <c r="F72">
        <f>Table2[[#This Row],[V3]]/100</f>
        <v>0.3</v>
      </c>
      <c r="G72">
        <f>SUM(Table2[[#This Row],[w1]:[w3]])</f>
        <v>1</v>
      </c>
      <c r="H7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6.7952310502351052</v>
      </c>
      <c r="I72" s="19">
        <f>Table2[[#This Row],[w1]]*$N$7+Table2[[#This Row],[w2]]*$N$10+Table2[[#This Row],[w3]]*$R$7</f>
        <v>0.86499767083333301</v>
      </c>
      <c r="J72" s="19"/>
      <c r="K72" s="46">
        <f>$N$3+ ('Step1 '!$C$1-$N$3)*H72/'Step1 '!$C$2</f>
        <v>0.92808564540505367</v>
      </c>
    </row>
    <row r="73" spans="1:11" x14ac:dyDescent="0.25">
      <c r="A73">
        <v>15</v>
      </c>
      <c r="B73">
        <v>60</v>
      </c>
      <c r="C73">
        <v>25</v>
      </c>
      <c r="D73">
        <f>Table2[[#This Row],[V1]]/100</f>
        <v>0.15</v>
      </c>
      <c r="E73">
        <f>Table2[[#This Row],[V2]]/100</f>
        <v>0.6</v>
      </c>
      <c r="F73">
        <f>Table2[[#This Row],[V3]]/100</f>
        <v>0.25</v>
      </c>
      <c r="G73">
        <f>SUM(Table2[[#This Row],[w1]:[w3]])</f>
        <v>1</v>
      </c>
      <c r="H7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6.7185698289432461</v>
      </c>
      <c r="I73" s="19">
        <f>Table2[[#This Row],[w1]]*$N$7+Table2[[#This Row],[w2]]*$N$10+Table2[[#This Row],[w3]]*$R$7</f>
        <v>0.85232578541666637</v>
      </c>
      <c r="J73" s="19"/>
      <c r="K73" s="46">
        <f>$N$3+ ('Step1 '!$C$1-$N$3)*H73/'Step1 '!$C$2</f>
        <v>0.92269206434976492</v>
      </c>
    </row>
    <row r="74" spans="1:11" x14ac:dyDescent="0.25">
      <c r="A74">
        <v>15</v>
      </c>
      <c r="B74">
        <v>65</v>
      </c>
      <c r="C74">
        <v>20</v>
      </c>
      <c r="D74">
        <f>Table2[[#This Row],[V1]]/100</f>
        <v>0.15</v>
      </c>
      <c r="E74">
        <f>Table2[[#This Row],[V2]]/100</f>
        <v>0.65</v>
      </c>
      <c r="F74">
        <f>Table2[[#This Row],[V3]]/100</f>
        <v>0.2</v>
      </c>
      <c r="G74">
        <f>SUM(Table2[[#This Row],[w1]:[w3]])</f>
        <v>1</v>
      </c>
      <c r="H7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6.707854906332086</v>
      </c>
      <c r="I74" s="19">
        <f>Table2[[#This Row],[w1]]*$N$7+Table2[[#This Row],[w2]]*$N$10+Table2[[#This Row],[w3]]*$R$7</f>
        <v>0.83965389999999962</v>
      </c>
      <c r="J74" s="19"/>
      <c r="K74" s="46">
        <f>$N$3+ ('Step1 '!$C$1-$N$3)*H74/'Step1 '!$C$2</f>
        <v>0.92193820467168308</v>
      </c>
    </row>
    <row r="75" spans="1:11" x14ac:dyDescent="0.25">
      <c r="A75">
        <v>15</v>
      </c>
      <c r="B75">
        <v>70</v>
      </c>
      <c r="C75">
        <v>15</v>
      </c>
      <c r="D75">
        <f>Table2[[#This Row],[V1]]/100</f>
        <v>0.15</v>
      </c>
      <c r="E75">
        <f>Table2[[#This Row],[V2]]/100</f>
        <v>0.7</v>
      </c>
      <c r="F75">
        <f>Table2[[#This Row],[V3]]/100</f>
        <v>0.15</v>
      </c>
      <c r="G75">
        <f>SUM(Table2[[#This Row],[w1]:[w3]])</f>
        <v>1</v>
      </c>
      <c r="H7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6.7633997161287231</v>
      </c>
      <c r="I75" s="19">
        <f>Table2[[#This Row],[w1]]*$N$7+Table2[[#This Row],[w2]]*$N$10+Table2[[#This Row],[w3]]*$R$7</f>
        <v>0.82698201458333309</v>
      </c>
      <c r="J75" s="19"/>
      <c r="K75" s="46">
        <f>$N$3+ ('Step1 '!$C$1-$N$3)*H75/'Step1 '!$C$2</f>
        <v>0.92584611833116148</v>
      </c>
    </row>
    <row r="76" spans="1:11" x14ac:dyDescent="0.25">
      <c r="A76">
        <v>15</v>
      </c>
      <c r="B76">
        <v>75</v>
      </c>
      <c r="C76">
        <v>10</v>
      </c>
      <c r="D76">
        <f>Table2[[#This Row],[V1]]/100</f>
        <v>0.15</v>
      </c>
      <c r="E76">
        <f>Table2[[#This Row],[V2]]/100</f>
        <v>0.75</v>
      </c>
      <c r="F76">
        <f>Table2[[#This Row],[V3]]/100</f>
        <v>0.1</v>
      </c>
      <c r="G76">
        <f>SUM(Table2[[#This Row],[w1]:[w3]])</f>
        <v>1</v>
      </c>
      <c r="H7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6.8836004658584384</v>
      </c>
      <c r="I76" s="19">
        <f>Table2[[#This Row],[w1]]*$N$7+Table2[[#This Row],[w2]]*$N$10+Table2[[#This Row],[w3]]*$R$7</f>
        <v>0.81431012916666623</v>
      </c>
      <c r="J76" s="19"/>
      <c r="K76" s="46">
        <f>$N$3+ ('Step1 '!$C$1-$N$3)*H76/'Step1 '!$C$2</f>
        <v>0.93430296881760888</v>
      </c>
    </row>
    <row r="77" spans="1:11" x14ac:dyDescent="0.25">
      <c r="A77">
        <v>15</v>
      </c>
      <c r="B77">
        <v>80</v>
      </c>
      <c r="C77">
        <v>5</v>
      </c>
      <c r="D77">
        <f>Table2[[#This Row],[V1]]/100</f>
        <v>0.15</v>
      </c>
      <c r="E77">
        <f>Table2[[#This Row],[V2]]/100</f>
        <v>0.8</v>
      </c>
      <c r="F77">
        <f>Table2[[#This Row],[V3]]/100</f>
        <v>0.05</v>
      </c>
      <c r="G77">
        <f>SUM(Table2[[#This Row],[w1]:[w3]])</f>
        <v>1</v>
      </c>
      <c r="H7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7.0651579178892137</v>
      </c>
      <c r="I77" s="19">
        <f>Table2[[#This Row],[w1]]*$N$7+Table2[[#This Row],[w2]]*$N$10+Table2[[#This Row],[w3]]*$R$7</f>
        <v>0.80163824374999959</v>
      </c>
      <c r="J77" s="19"/>
      <c r="K77" s="46">
        <f>$N$3+ ('Step1 '!$C$1-$N$3)*H77/'Step1 '!$C$2</f>
        <v>0.94707663478872062</v>
      </c>
    </row>
    <row r="78" spans="1:11" x14ac:dyDescent="0.25">
      <c r="A78">
        <v>15</v>
      </c>
      <c r="B78">
        <v>85</v>
      </c>
      <c r="C78">
        <v>0</v>
      </c>
      <c r="D78">
        <f>Table2[[#This Row],[V1]]/100</f>
        <v>0.15</v>
      </c>
      <c r="E78">
        <f>Table2[[#This Row],[V2]]/100</f>
        <v>0.85</v>
      </c>
      <c r="F78">
        <f>Table2[[#This Row],[V3]]/100</f>
        <v>0</v>
      </c>
      <c r="G78">
        <f>SUM(Table2[[#This Row],[w1]:[w3]])</f>
        <v>1</v>
      </c>
      <c r="H7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7.3034977109305999</v>
      </c>
      <c r="I78" s="19">
        <f>Table2[[#This Row],[w1]]*$N$7+Table2[[#This Row],[w2]]*$N$10+Table2[[#This Row],[w3]]*$R$7</f>
        <v>0.78896635833333284</v>
      </c>
      <c r="J78" s="19"/>
      <c r="K78" s="46">
        <f>$N$3+ ('Step1 '!$C$1-$N$3)*H78/'Step1 '!$C$2</f>
        <v>0.96384528223271815</v>
      </c>
    </row>
    <row r="79" spans="1:11" x14ac:dyDescent="0.25">
      <c r="A79">
        <v>20</v>
      </c>
      <c r="B79">
        <v>0</v>
      </c>
      <c r="C79">
        <v>80</v>
      </c>
      <c r="D79">
        <f>Table2[[#This Row],[V1]]/100</f>
        <v>0.2</v>
      </c>
      <c r="E79">
        <f>Table2[[#This Row],[V2]]/100</f>
        <v>0</v>
      </c>
      <c r="F79">
        <f>Table2[[#This Row],[V3]]/100</f>
        <v>0.8</v>
      </c>
      <c r="G79">
        <f>SUM(Table2[[#This Row],[w1]:[w3]])</f>
        <v>1</v>
      </c>
      <c r="H7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10.216377380258725</v>
      </c>
      <c r="I79" s="19">
        <f>Table2[[#This Row],[w1]]*$N$7+Table2[[#This Row],[w2]]*$N$10+Table2[[#This Row],[w3]]*$R$7</f>
        <v>0.97959219999999991</v>
      </c>
      <c r="J79" s="19"/>
      <c r="K79" s="46">
        <f>$N$3+ ('Step1 '!$C$1-$N$3)*H79/'Step1 '!$C$2</f>
        <v>1.168784002697538</v>
      </c>
    </row>
    <row r="80" spans="1:11" x14ac:dyDescent="0.25">
      <c r="A80">
        <v>20</v>
      </c>
      <c r="B80">
        <v>5</v>
      </c>
      <c r="C80">
        <v>75</v>
      </c>
      <c r="D80">
        <f>Table2[[#This Row],[V1]]/100</f>
        <v>0.2</v>
      </c>
      <c r="E80">
        <f>Table2[[#This Row],[V2]]/100</f>
        <v>0.05</v>
      </c>
      <c r="F80">
        <f>Table2[[#This Row],[V3]]/100</f>
        <v>0.75</v>
      </c>
      <c r="G80">
        <f>SUM(Table2[[#This Row],[w1]:[w3]])</f>
        <v>1</v>
      </c>
      <c r="H8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9.7077426530335131</v>
      </c>
      <c r="I80" s="19">
        <f>Table2[[#This Row],[w1]]*$N$7+Table2[[#This Row],[w2]]*$N$10+Table2[[#This Row],[w3]]*$R$7</f>
        <v>0.96692031458333327</v>
      </c>
      <c r="J80" s="19"/>
      <c r="K80" s="46">
        <f>$N$3+ ('Step1 '!$C$1-$N$3)*H80/'Step1 '!$C$2</f>
        <v>1.1329984701610873</v>
      </c>
    </row>
    <row r="81" spans="1:11" x14ac:dyDescent="0.25">
      <c r="A81">
        <v>20</v>
      </c>
      <c r="B81">
        <v>10</v>
      </c>
      <c r="C81">
        <v>70</v>
      </c>
      <c r="D81">
        <f>Table2[[#This Row],[V1]]/100</f>
        <v>0.2</v>
      </c>
      <c r="E81">
        <f>Table2[[#This Row],[V2]]/100</f>
        <v>0.1</v>
      </c>
      <c r="F81">
        <f>Table2[[#This Row],[V3]]/100</f>
        <v>0.7</v>
      </c>
      <c r="G81">
        <f>SUM(Table2[[#This Row],[w1]:[w3]])</f>
        <v>1</v>
      </c>
      <c r="H8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9.2194516885170508</v>
      </c>
      <c r="I81" s="19">
        <f>Table2[[#This Row],[w1]]*$N$7+Table2[[#This Row],[w2]]*$N$10+Table2[[#This Row],[w3]]*$R$7</f>
        <v>0.95424842916666652</v>
      </c>
      <c r="J81" s="19"/>
      <c r="K81" s="46">
        <f>$N$3+ ('Step1 '!$C$1-$N$3)*H81/'Step1 '!$C$2</f>
        <v>1.0986442445003965</v>
      </c>
    </row>
    <row r="82" spans="1:11" x14ac:dyDescent="0.25">
      <c r="A82">
        <v>20</v>
      </c>
      <c r="B82">
        <v>15</v>
      </c>
      <c r="C82">
        <v>65</v>
      </c>
      <c r="D82">
        <f>Table2[[#This Row],[V1]]/100</f>
        <v>0.2</v>
      </c>
      <c r="E82">
        <f>Table2[[#This Row],[V2]]/100</f>
        <v>0.15</v>
      </c>
      <c r="F82">
        <f>Table2[[#This Row],[V3]]/100</f>
        <v>0.65</v>
      </c>
      <c r="G82">
        <f>SUM(Table2[[#This Row],[w1]:[w3]])</f>
        <v>1</v>
      </c>
      <c r="H8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8.7549090705719745</v>
      </c>
      <c r="I82" s="19">
        <f>Table2[[#This Row],[w1]]*$N$7+Table2[[#This Row],[w2]]*$N$10+Table2[[#This Row],[w3]]*$R$7</f>
        <v>0.94157654374999988</v>
      </c>
      <c r="J82" s="19"/>
      <c r="K82" s="46">
        <f>$N$3+ ('Step1 '!$C$1-$N$3)*H82/'Step1 '!$C$2</f>
        <v>1.0659608588029019</v>
      </c>
    </row>
    <row r="83" spans="1:11" x14ac:dyDescent="0.25">
      <c r="A83">
        <v>20</v>
      </c>
      <c r="B83">
        <v>20</v>
      </c>
      <c r="C83">
        <v>60</v>
      </c>
      <c r="D83">
        <f>Table2[[#This Row],[V1]]/100</f>
        <v>0.2</v>
      </c>
      <c r="E83">
        <f>Table2[[#This Row],[V2]]/100</f>
        <v>0.2</v>
      </c>
      <c r="F83">
        <f>Table2[[#This Row],[V3]]/100</f>
        <v>0.6</v>
      </c>
      <c r="G83">
        <f>SUM(Table2[[#This Row],[w1]:[w3]])</f>
        <v>1</v>
      </c>
      <c r="H8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8.3180945900354288</v>
      </c>
      <c r="I83" s="19">
        <f>Table2[[#This Row],[w1]]*$N$7+Table2[[#This Row],[w2]]*$N$10+Table2[[#This Row],[w3]]*$R$7</f>
        <v>0.92890465833333313</v>
      </c>
      <c r="J83" s="19"/>
      <c r="K83" s="46">
        <f>$N$3+ ('Step1 '!$C$1-$N$3)*H83/'Step1 '!$C$2</f>
        <v>1.0352283154492272</v>
      </c>
    </row>
    <row r="84" spans="1:11" x14ac:dyDescent="0.25">
      <c r="A84">
        <v>20</v>
      </c>
      <c r="B84">
        <v>25</v>
      </c>
      <c r="C84">
        <v>55</v>
      </c>
      <c r="D84">
        <f>Table2[[#This Row],[V1]]/100</f>
        <v>0.2</v>
      </c>
      <c r="E84">
        <f>Table2[[#This Row],[V2]]/100</f>
        <v>0.25</v>
      </c>
      <c r="F84">
        <f>Table2[[#This Row],[V3]]/100</f>
        <v>0.55000000000000004</v>
      </c>
      <c r="G84">
        <f>SUM(Table2[[#This Row],[w1]:[w3]])</f>
        <v>1</v>
      </c>
      <c r="H8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7.9136011879093102</v>
      </c>
      <c r="I84" s="19">
        <f>Table2[[#This Row],[w1]]*$N$7+Table2[[#This Row],[w2]]*$N$10+Table2[[#This Row],[w3]]*$R$7</f>
        <v>0.91623277291666649</v>
      </c>
      <c r="J84" s="19"/>
      <c r="K84" s="46">
        <f>$N$3+ ('Step1 '!$C$1-$N$3)*H84/'Step1 '!$C$2</f>
        <v>1.00676975564634</v>
      </c>
    </row>
    <row r="85" spans="1:11" x14ac:dyDescent="0.25">
      <c r="A85">
        <v>20</v>
      </c>
      <c r="B85">
        <v>30</v>
      </c>
      <c r="C85">
        <v>50</v>
      </c>
      <c r="D85">
        <f>Table2[[#This Row],[V1]]/100</f>
        <v>0.2</v>
      </c>
      <c r="E85">
        <f>Table2[[#This Row],[V2]]/100</f>
        <v>0.3</v>
      </c>
      <c r="F85">
        <f>Table2[[#This Row],[V3]]/100</f>
        <v>0.5</v>
      </c>
      <c r="G85">
        <f>SUM(Table2[[#This Row],[w1]:[w3]])</f>
        <v>1</v>
      </c>
      <c r="H8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7.546627809259733</v>
      </c>
      <c r="I85" s="19">
        <f>Table2[[#This Row],[w1]]*$N$7+Table2[[#This Row],[w2]]*$N$10+Table2[[#This Row],[w3]]*$R$7</f>
        <v>0.90356088749999974</v>
      </c>
      <c r="J85" s="19"/>
      <c r="K85" s="46">
        <f>$N$3+ ('Step1 '!$C$1-$N$3)*H85/'Step1 '!$C$2</f>
        <v>0.98095095665611498</v>
      </c>
    </row>
    <row r="86" spans="1:11" x14ac:dyDescent="0.25">
      <c r="A86">
        <v>20</v>
      </c>
      <c r="B86">
        <v>35</v>
      </c>
      <c r="C86">
        <v>45</v>
      </c>
      <c r="D86">
        <f>Table2[[#This Row],[V1]]/100</f>
        <v>0.2</v>
      </c>
      <c r="E86">
        <f>Table2[[#This Row],[V2]]/100</f>
        <v>0.35</v>
      </c>
      <c r="F86">
        <f>Table2[[#This Row],[V3]]/100</f>
        <v>0.45</v>
      </c>
      <c r="G86">
        <f>SUM(Table2[[#This Row],[w1]:[w3]])</f>
        <v>1</v>
      </c>
      <c r="H8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7.2228955550675655</v>
      </c>
      <c r="I86" s="19">
        <f>Table2[[#This Row],[w1]]*$N$7+Table2[[#This Row],[w2]]*$N$10+Table2[[#This Row],[w3]]*$R$7</f>
        <v>0.8908890020833331</v>
      </c>
      <c r="J86" s="19"/>
      <c r="K86" s="46">
        <f>$N$3+ ('Step1 '!$C$1-$N$3)*H86/'Step1 '!$C$2</f>
        <v>0.95817443257036805</v>
      </c>
    </row>
    <row r="87" spans="1:11" x14ac:dyDescent="0.25">
      <c r="A87">
        <v>20</v>
      </c>
      <c r="B87">
        <v>40</v>
      </c>
      <c r="C87">
        <v>40</v>
      </c>
      <c r="D87">
        <f>Table2[[#This Row],[V1]]/100</f>
        <v>0.2</v>
      </c>
      <c r="E87">
        <f>Table2[[#This Row],[V2]]/100</f>
        <v>0.4</v>
      </c>
      <c r="F87">
        <f>Table2[[#This Row],[V3]]/100</f>
        <v>0.4</v>
      </c>
      <c r="G87">
        <f>SUM(Table2[[#This Row],[w1]:[w3]])</f>
        <v>1</v>
      </c>
      <c r="H8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6.9484509414003197</v>
      </c>
      <c r="I87" s="19">
        <f>Table2[[#This Row],[w1]]*$N$7+Table2[[#This Row],[w2]]*$N$10+Table2[[#This Row],[w3]]*$R$7</f>
        <v>0.87821711666666646</v>
      </c>
      <c r="J87" s="19"/>
      <c r="K87" s="46">
        <f>$N$3+ ('Step1 '!$C$1-$N$3)*H87/'Step1 '!$C$2</f>
        <v>0.93886559240245249</v>
      </c>
    </row>
    <row r="88" spans="1:11" x14ac:dyDescent="0.25">
      <c r="A88">
        <v>20</v>
      </c>
      <c r="B88">
        <v>45</v>
      </c>
      <c r="C88">
        <v>35</v>
      </c>
      <c r="D88">
        <f>Table2[[#This Row],[V1]]/100</f>
        <v>0.2</v>
      </c>
      <c r="E88">
        <f>Table2[[#This Row],[V2]]/100</f>
        <v>0.45</v>
      </c>
      <c r="F88">
        <f>Table2[[#This Row],[V3]]/100</f>
        <v>0.35</v>
      </c>
      <c r="G88">
        <f>SUM(Table2[[#This Row],[w1]:[w3]])</f>
        <v>1</v>
      </c>
      <c r="H8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6.7293270204671192</v>
      </c>
      <c r="I88" s="19">
        <f>Table2[[#This Row],[w1]]*$N$7+Table2[[#This Row],[w2]]*$N$10+Table2[[#This Row],[w3]]*$R$7</f>
        <v>0.86554523124999982</v>
      </c>
      <c r="J88" s="19"/>
      <c r="K88" s="46">
        <f>$N$3+ ('Step1 '!$C$1-$N$3)*H88/'Step1 '!$C$2</f>
        <v>0.92344889790176876</v>
      </c>
    </row>
    <row r="89" spans="1:11" x14ac:dyDescent="0.25">
      <c r="A89">
        <v>20</v>
      </c>
      <c r="B89">
        <v>50</v>
      </c>
      <c r="C89">
        <v>30</v>
      </c>
      <c r="D89">
        <f>Table2[[#This Row],[V1]]/100</f>
        <v>0.2</v>
      </c>
      <c r="E89">
        <f>Table2[[#This Row],[V2]]/100</f>
        <v>0.5</v>
      </c>
      <c r="F89">
        <f>Table2[[#This Row],[V3]]/100</f>
        <v>0.3</v>
      </c>
      <c r="G89">
        <f>SUM(Table2[[#This Row],[w1]:[w3]])</f>
        <v>1</v>
      </c>
      <c r="H8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6.5710604311207277</v>
      </c>
      <c r="I89" s="19">
        <f>Table2[[#This Row],[w1]]*$N$7+Table2[[#This Row],[w2]]*$N$10+Table2[[#This Row],[w3]]*$R$7</f>
        <v>0.85287334583333307</v>
      </c>
      <c r="J89" s="19"/>
      <c r="K89" s="46">
        <f>$N$3+ ('Step1 '!$C$1-$N$3)*H89/'Step1 '!$C$2</f>
        <v>0.9123138851326138</v>
      </c>
    </row>
    <row r="90" spans="1:11" x14ac:dyDescent="0.25">
      <c r="A90">
        <v>20</v>
      </c>
      <c r="B90">
        <v>55</v>
      </c>
      <c r="C90">
        <v>25</v>
      </c>
      <c r="D90">
        <f>Table2[[#This Row],[V1]]/100</f>
        <v>0.2</v>
      </c>
      <c r="E90">
        <f>Table2[[#This Row],[V2]]/100</f>
        <v>0.55000000000000004</v>
      </c>
      <c r="F90">
        <f>Table2[[#This Row],[V3]]/100</f>
        <v>0.25</v>
      </c>
      <c r="G90">
        <f>SUM(Table2[[#This Row],[w1]:[w3]])</f>
        <v>1</v>
      </c>
      <c r="H9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6.4781131209791267</v>
      </c>
      <c r="I90" s="19">
        <f>Table2[[#This Row],[w1]]*$N$7+Table2[[#This Row],[w2]]*$N$10+Table2[[#This Row],[w3]]*$R$7</f>
        <v>0.84020146041666632</v>
      </c>
      <c r="J90" s="19"/>
      <c r="K90" s="46">
        <f>$N$3+ ('Step1 '!$C$1-$N$3)*H90/'Step1 '!$C$2</f>
        <v>0.9057744791243113</v>
      </c>
    </row>
    <row r="91" spans="1:11" x14ac:dyDescent="0.25">
      <c r="A91">
        <v>20</v>
      </c>
      <c r="B91">
        <v>60</v>
      </c>
      <c r="C91">
        <v>20</v>
      </c>
      <c r="D91">
        <f>Table2[[#This Row],[V1]]/100</f>
        <v>0.2</v>
      </c>
      <c r="E91">
        <f>Table2[[#This Row],[V2]]/100</f>
        <v>0.6</v>
      </c>
      <c r="F91">
        <f>Table2[[#This Row],[V3]]/100</f>
        <v>0.2</v>
      </c>
      <c r="G91">
        <f>SUM(Table2[[#This Row],[w1]:[w3]])</f>
        <v>1</v>
      </c>
      <c r="H9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6.4533080977645128</v>
      </c>
      <c r="I91" s="19">
        <f>Table2[[#This Row],[w1]]*$N$7+Table2[[#This Row],[w2]]*$N$10+Table2[[#This Row],[w3]]*$R$7</f>
        <v>0.82752957499999968</v>
      </c>
      <c r="J91" s="19"/>
      <c r="K91" s="46">
        <f>$N$3+ ('Step1 '!$C$1-$N$3)*H91/'Step1 '!$C$2</f>
        <v>0.90402929556172507</v>
      </c>
    </row>
    <row r="92" spans="1:11" x14ac:dyDescent="0.25">
      <c r="A92">
        <v>20</v>
      </c>
      <c r="B92">
        <v>65</v>
      </c>
      <c r="C92">
        <v>15</v>
      </c>
      <c r="D92">
        <f>Table2[[#This Row],[V1]]/100</f>
        <v>0.2</v>
      </c>
      <c r="E92">
        <f>Table2[[#This Row],[V2]]/100</f>
        <v>0.65</v>
      </c>
      <c r="F92">
        <f>Table2[[#This Row],[V3]]/100</f>
        <v>0.15</v>
      </c>
      <c r="G92">
        <f>SUM(Table2[[#This Row],[w1]:[w3]])</f>
        <v>1</v>
      </c>
      <c r="H9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6.4974258425051596</v>
      </c>
      <c r="I92" s="19">
        <f>Table2[[#This Row],[w1]]*$N$7+Table2[[#This Row],[w2]]*$N$10+Table2[[#This Row],[w3]]*$R$7</f>
        <v>0.81485768958333304</v>
      </c>
      <c r="J92" s="19"/>
      <c r="K92" s="46">
        <f>$N$3+ ('Step1 '!$C$1-$N$3)*H92/'Step1 '!$C$2</f>
        <v>0.90713324601053547</v>
      </c>
    </row>
    <row r="93" spans="1:11" x14ac:dyDescent="0.25">
      <c r="A93">
        <v>20</v>
      </c>
      <c r="B93">
        <v>70</v>
      </c>
      <c r="C93">
        <v>10</v>
      </c>
      <c r="D93">
        <f>Table2[[#This Row],[V1]]/100</f>
        <v>0.2</v>
      </c>
      <c r="E93">
        <f>Table2[[#This Row],[V2]]/100</f>
        <v>0.7</v>
      </c>
      <c r="F93">
        <f>Table2[[#This Row],[V3]]/100</f>
        <v>0.1</v>
      </c>
      <c r="G93">
        <f>SUM(Table2[[#This Row],[w1]:[w3]])</f>
        <v>0.99999999999999989</v>
      </c>
      <c r="H9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6.6090862553566714</v>
      </c>
      <c r="I93" s="19">
        <f>Table2[[#This Row],[w1]]*$N$7+Table2[[#This Row],[w2]]*$N$10+Table2[[#This Row],[w3]]*$R$7</f>
        <v>0.80218580416666641</v>
      </c>
      <c r="J93" s="19"/>
      <c r="K93" s="46">
        <f>$N$3+ ('Step1 '!$C$1-$N$3)*H93/'Step1 '!$C$2</f>
        <v>0.91498923209101801</v>
      </c>
    </row>
    <row r="94" spans="1:11" x14ac:dyDescent="0.25">
      <c r="A94">
        <v>20</v>
      </c>
      <c r="B94">
        <v>75</v>
      </c>
      <c r="C94">
        <v>5</v>
      </c>
      <c r="D94">
        <f>Table2[[#This Row],[V1]]/100</f>
        <v>0.2</v>
      </c>
      <c r="E94">
        <f>Table2[[#This Row],[V2]]/100</f>
        <v>0.75</v>
      </c>
      <c r="F94">
        <f>Table2[[#This Row],[V3]]/100</f>
        <v>0.05</v>
      </c>
      <c r="G94">
        <f>SUM(Table2[[#This Row],[w1]:[w3]])</f>
        <v>1</v>
      </c>
      <c r="H9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6.7849554943525447</v>
      </c>
      <c r="I94" s="19">
        <f>Table2[[#This Row],[w1]]*$N$7+Table2[[#This Row],[w2]]*$N$10+Table2[[#This Row],[w3]]*$R$7</f>
        <v>0.78951391874999954</v>
      </c>
      <c r="J94" s="19"/>
      <c r="K94" s="46">
        <f>$N$3+ ('Step1 '!$C$1-$N$3)*H94/'Step1 '!$C$2</f>
        <v>0.92736269783642911</v>
      </c>
    </row>
    <row r="95" spans="1:11" x14ac:dyDescent="0.25">
      <c r="A95">
        <v>20</v>
      </c>
      <c r="B95">
        <v>80</v>
      </c>
      <c r="C95">
        <v>0</v>
      </c>
      <c r="D95">
        <f>Table2[[#This Row],[V1]]/100</f>
        <v>0.2</v>
      </c>
      <c r="E95">
        <f>Table2[[#This Row],[V2]]/100</f>
        <v>0.8</v>
      </c>
      <c r="F95">
        <f>Table2[[#This Row],[V3]]/100</f>
        <v>0</v>
      </c>
      <c r="G95">
        <f>SUM(Table2[[#This Row],[w1]:[w3]])</f>
        <v>1</v>
      </c>
      <c r="H9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7.0202095672176945</v>
      </c>
      <c r="I95" s="19">
        <f>Table2[[#This Row],[w1]]*$N$7+Table2[[#This Row],[w2]]*$N$10+Table2[[#This Row],[w3]]*$R$7</f>
        <v>0.77684203333333302</v>
      </c>
      <c r="J95" s="19"/>
      <c r="K95" s="46">
        <f>$N$3+ ('Step1 '!$C$1-$N$3)*H95/'Step1 '!$C$2</f>
        <v>0.94391424618385589</v>
      </c>
    </row>
    <row r="96" spans="1:11" x14ac:dyDescent="0.25">
      <c r="A96">
        <v>25</v>
      </c>
      <c r="B96">
        <v>0</v>
      </c>
      <c r="C96">
        <v>75</v>
      </c>
      <c r="D96">
        <f>Table2[[#This Row],[V1]]/100</f>
        <v>0.25</v>
      </c>
      <c r="E96">
        <f>Table2[[#This Row],[V2]]/100</f>
        <v>0</v>
      </c>
      <c r="F96">
        <f>Table2[[#This Row],[V3]]/100</f>
        <v>0.75</v>
      </c>
      <c r="G96">
        <f>SUM(Table2[[#This Row],[w1]:[w3]])</f>
        <v>1</v>
      </c>
      <c r="H9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9.6538719249263565</v>
      </c>
      <c r="I96" s="19">
        <f>Table2[[#This Row],[w1]]*$N$7+Table2[[#This Row],[w2]]*$N$10+Table2[[#This Row],[w3]]*$R$7</f>
        <v>0.95479598958333323</v>
      </c>
      <c r="J96" s="19"/>
      <c r="K96" s="46">
        <f>$N$3+ ('Step1 '!$C$1-$N$3)*H96/'Step1 '!$C$2</f>
        <v>1.1292083382840175</v>
      </c>
    </row>
    <row r="97" spans="1:11" x14ac:dyDescent="0.25">
      <c r="A97">
        <v>25</v>
      </c>
      <c r="B97">
        <v>5</v>
      </c>
      <c r="C97">
        <v>70</v>
      </c>
      <c r="D97">
        <f>Table2[[#This Row],[V1]]/100</f>
        <v>0.25</v>
      </c>
      <c r="E97">
        <f>Table2[[#This Row],[V2]]/100</f>
        <v>0.05</v>
      </c>
      <c r="F97">
        <f>Table2[[#This Row],[V3]]/100</f>
        <v>0.7</v>
      </c>
      <c r="G97">
        <f>SUM(Table2[[#This Row],[w1]:[w3]])</f>
        <v>1</v>
      </c>
      <c r="H9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9.1530521718555313</v>
      </c>
      <c r="I97" s="19">
        <f>Table2[[#This Row],[w1]]*$N$7+Table2[[#This Row],[w2]]*$N$10+Table2[[#This Row],[w3]]*$R$7</f>
        <v>0.94212410416666659</v>
      </c>
      <c r="J97" s="19"/>
      <c r="K97" s="46">
        <f>$N$3+ ('Step1 '!$C$1-$N$3)*H97/'Step1 '!$C$2</f>
        <v>1.0939726364942777</v>
      </c>
    </row>
    <row r="98" spans="1:11" x14ac:dyDescent="0.25">
      <c r="A98">
        <v>25</v>
      </c>
      <c r="B98">
        <v>10</v>
      </c>
      <c r="C98">
        <v>65</v>
      </c>
      <c r="D98">
        <f>Table2[[#This Row],[V1]]/100</f>
        <v>0.25</v>
      </c>
      <c r="E98">
        <f>Table2[[#This Row],[V2]]/100</f>
        <v>0.1</v>
      </c>
      <c r="F98">
        <f>Table2[[#This Row],[V3]]/100</f>
        <v>0.65</v>
      </c>
      <c r="G98">
        <f>SUM(Table2[[#This Row],[w1]:[w3]])</f>
        <v>1</v>
      </c>
      <c r="H9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8.6747683747894353</v>
      </c>
      <c r="I98" s="19">
        <f>Table2[[#This Row],[w1]]*$N$7+Table2[[#This Row],[w2]]*$N$10+Table2[[#This Row],[w3]]*$R$7</f>
        <v>0.92945221874999984</v>
      </c>
      <c r="J98" s="19"/>
      <c r="K98" s="46">
        <f>$N$3+ ('Step1 '!$C$1-$N$3)*H98/'Step1 '!$C$2</f>
        <v>1.0603224756510767</v>
      </c>
    </row>
    <row r="99" spans="1:11" x14ac:dyDescent="0.25">
      <c r="A99">
        <v>25</v>
      </c>
      <c r="B99">
        <v>15</v>
      </c>
      <c r="C99">
        <v>60</v>
      </c>
      <c r="D99">
        <f>Table2[[#This Row],[V1]]/100</f>
        <v>0.25</v>
      </c>
      <c r="E99">
        <f>Table2[[#This Row],[V2]]/100</f>
        <v>0.15</v>
      </c>
      <c r="F99">
        <f>Table2[[#This Row],[V3]]/100</f>
        <v>0.6</v>
      </c>
      <c r="G99">
        <f>SUM(Table2[[#This Row],[w1]:[w3]])</f>
        <v>1</v>
      </c>
      <c r="H9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8.2229538506241404</v>
      </c>
      <c r="I99" s="19">
        <f>Table2[[#This Row],[w1]]*$N$7+Table2[[#This Row],[w2]]*$N$10+Table2[[#This Row],[w3]]*$R$7</f>
        <v>0.91678033333333309</v>
      </c>
      <c r="J99" s="19"/>
      <c r="K99" s="46">
        <f>$N$3+ ('Step1 '!$C$1-$N$3)*H99/'Step1 '!$C$2</f>
        <v>1.0285345884119124</v>
      </c>
    </row>
    <row r="100" spans="1:11" x14ac:dyDescent="0.25">
      <c r="A100">
        <v>25</v>
      </c>
      <c r="B100">
        <v>20</v>
      </c>
      <c r="C100">
        <v>55</v>
      </c>
      <c r="D100">
        <f>Table2[[#This Row],[V1]]/100</f>
        <v>0.25</v>
      </c>
      <c r="E100">
        <f>Table2[[#This Row],[V2]]/100</f>
        <v>0.2</v>
      </c>
      <c r="F100">
        <f>Table2[[#This Row],[V3]]/100</f>
        <v>0.55000000000000004</v>
      </c>
      <c r="G100">
        <f>SUM(Table2[[#This Row],[w1]:[w3]])</f>
        <v>1</v>
      </c>
      <c r="H10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7.8022083463883174</v>
      </c>
      <c r="I100" s="19">
        <f>Table2[[#This Row],[w1]]*$N$7+Table2[[#This Row],[w2]]*$N$10+Table2[[#This Row],[w3]]*$R$7</f>
        <v>0.90410844791666656</v>
      </c>
      <c r="J100" s="19"/>
      <c r="K100" s="46">
        <f>$N$3+ ('Step1 '!$C$1-$N$3)*H100/'Step1 '!$C$2</f>
        <v>0.99893259482894226</v>
      </c>
    </row>
    <row r="101" spans="1:11" x14ac:dyDescent="0.25">
      <c r="A101">
        <v>25</v>
      </c>
      <c r="B101">
        <v>25</v>
      </c>
      <c r="C101">
        <v>50</v>
      </c>
      <c r="D101">
        <f>Table2[[#This Row],[V1]]/100</f>
        <v>0.25</v>
      </c>
      <c r="E101">
        <f>Table2[[#This Row],[V2]]/100</f>
        <v>0.25</v>
      </c>
      <c r="F101">
        <f>Table2[[#This Row],[V3]]/100</f>
        <v>0.5</v>
      </c>
      <c r="G101">
        <f>SUM(Table2[[#This Row],[w1]:[w3]])</f>
        <v>1</v>
      </c>
      <c r="H10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7.4178205363245615</v>
      </c>
      <c r="I101" s="19">
        <f>Table2[[#This Row],[w1]]*$N$7+Table2[[#This Row],[w2]]*$N$10+Table2[[#This Row],[w3]]*$R$7</f>
        <v>0.89143656249999981</v>
      </c>
      <c r="J101" s="19"/>
      <c r="K101" s="46">
        <f>$N$3+ ('Step1 '!$C$1-$N$3)*H101/'Step1 '!$C$2</f>
        <v>0.97188858515486243</v>
      </c>
    </row>
    <row r="102" spans="1:11" x14ac:dyDescent="0.25">
      <c r="A102">
        <v>25</v>
      </c>
      <c r="B102">
        <v>30</v>
      </c>
      <c r="C102">
        <v>45</v>
      </c>
      <c r="D102">
        <f>Table2[[#This Row],[V1]]/100</f>
        <v>0.25</v>
      </c>
      <c r="E102">
        <f>Table2[[#This Row],[V2]]/100</f>
        <v>0.3</v>
      </c>
      <c r="F102">
        <f>Table2[[#This Row],[V3]]/100</f>
        <v>0.45</v>
      </c>
      <c r="G102">
        <f>SUM(Table2[[#This Row],[w1]:[w3]])</f>
        <v>1</v>
      </c>
      <c r="H10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7.0757182897211948</v>
      </c>
      <c r="I102" s="19">
        <f>Table2[[#This Row],[w1]]*$N$7+Table2[[#This Row],[w2]]*$N$10+Table2[[#This Row],[w3]]*$R$7</f>
        <v>0.87876467708333306</v>
      </c>
      <c r="J102" s="19"/>
      <c r="K102" s="46">
        <f>$N$3+ ('Step1 '!$C$1-$N$3)*H102/'Step1 '!$C$2</f>
        <v>0.94781962088377547</v>
      </c>
    </row>
    <row r="103" spans="1:11" x14ac:dyDescent="0.25">
      <c r="A103">
        <v>25</v>
      </c>
      <c r="B103">
        <v>35</v>
      </c>
      <c r="C103">
        <v>40</v>
      </c>
      <c r="D103">
        <f>Table2[[#This Row],[V1]]/100</f>
        <v>0.25</v>
      </c>
      <c r="E103">
        <f>Table2[[#This Row],[V2]]/100</f>
        <v>0.35</v>
      </c>
      <c r="F103">
        <f>Table2[[#This Row],[V3]]/100</f>
        <v>0.4</v>
      </c>
      <c r="G103">
        <f>SUM(Table2[[#This Row],[w1]:[w3]])</f>
        <v>1</v>
      </c>
      <c r="H10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6.7823033329084739</v>
      </c>
      <c r="I103" s="19">
        <f>Table2[[#This Row],[w1]]*$N$7+Table2[[#This Row],[w2]]*$N$10+Table2[[#This Row],[w3]]*$R$7</f>
        <v>0.86609279166666642</v>
      </c>
      <c r="J103" s="19"/>
      <c r="K103" s="46">
        <f>$N$3+ ('Step1 '!$C$1-$N$3)*H103/'Step1 '!$C$2</f>
        <v>0.92717610222160252</v>
      </c>
    </row>
    <row r="104" spans="1:11" x14ac:dyDescent="0.25">
      <c r="A104">
        <v>25</v>
      </c>
      <c r="B104">
        <v>40</v>
      </c>
      <c r="C104">
        <v>35</v>
      </c>
      <c r="D104">
        <f>Table2[[#This Row],[V1]]/100</f>
        <v>0.25</v>
      </c>
      <c r="E104">
        <f>Table2[[#This Row],[V2]]/100</f>
        <v>0.4</v>
      </c>
      <c r="F104">
        <f>Table2[[#This Row],[V3]]/100</f>
        <v>0.35</v>
      </c>
      <c r="G104">
        <f>SUM(Table2[[#This Row],[w1]:[w3]])</f>
        <v>1</v>
      </c>
      <c r="H10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6.5441278304581951</v>
      </c>
      <c r="I104" s="19">
        <f>Table2[[#This Row],[w1]]*$N$7+Table2[[#This Row],[w2]]*$N$10+Table2[[#This Row],[w3]]*$R$7</f>
        <v>0.85342090624999978</v>
      </c>
      <c r="J104" s="19"/>
      <c r="K104" s="46">
        <f>$N$3+ ('Step1 '!$C$1-$N$3)*H104/'Step1 '!$C$2</f>
        <v>0.91041901361536959</v>
      </c>
    </row>
    <row r="105" spans="1:11" x14ac:dyDescent="0.25">
      <c r="A105">
        <v>25</v>
      </c>
      <c r="B105">
        <v>45</v>
      </c>
      <c r="C105">
        <v>30</v>
      </c>
      <c r="D105">
        <f>Table2[[#This Row],[V1]]/100</f>
        <v>0.25</v>
      </c>
      <c r="E105">
        <f>Table2[[#This Row],[V2]]/100</f>
        <v>0.45</v>
      </c>
      <c r="F105">
        <f>Table2[[#This Row],[V3]]/100</f>
        <v>0.3</v>
      </c>
      <c r="G105">
        <f>SUM(Table2[[#This Row],[w1]:[w3]])</f>
        <v>1</v>
      </c>
      <c r="H10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6.3673935798632169</v>
      </c>
      <c r="I105" s="19">
        <f>Table2[[#This Row],[w1]]*$N$7+Table2[[#This Row],[w2]]*$N$10+Table2[[#This Row],[w3]]*$R$7</f>
        <v>0.84074902083333314</v>
      </c>
      <c r="J105" s="19"/>
      <c r="K105" s="46">
        <f>$N$3+ ('Step1 '!$C$1-$N$3)*H105/'Step1 '!$C$2</f>
        <v>0.89798468906683859</v>
      </c>
    </row>
    <row r="106" spans="1:11" x14ac:dyDescent="0.25">
      <c r="A106">
        <v>25</v>
      </c>
      <c r="B106">
        <v>50</v>
      </c>
      <c r="C106">
        <v>25</v>
      </c>
      <c r="D106">
        <f>Table2[[#This Row],[V1]]/100</f>
        <v>0.25</v>
      </c>
      <c r="E106">
        <f>Table2[[#This Row],[V2]]/100</f>
        <v>0.5</v>
      </c>
      <c r="F106">
        <f>Table2[[#This Row],[V3]]/100</f>
        <v>0.25</v>
      </c>
      <c r="G106">
        <f>SUM(Table2[[#This Row],[w1]:[w3]])</f>
        <v>1</v>
      </c>
      <c r="H10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6.2573088718792578</v>
      </c>
      <c r="I106" s="19">
        <f>Table2[[#This Row],[w1]]*$N$7+Table2[[#This Row],[w2]]*$N$10+Table2[[#This Row],[w3]]*$R$7</f>
        <v>0.8280771354166665</v>
      </c>
      <c r="J106" s="19"/>
      <c r="K106" s="46">
        <f>$N$3+ ('Step1 '!$C$1-$N$3)*H106/'Step1 '!$C$2</f>
        <v>0.89023956336372989</v>
      </c>
    </row>
    <row r="107" spans="1:11" x14ac:dyDescent="0.25">
      <c r="A107">
        <v>25</v>
      </c>
      <c r="B107">
        <v>55</v>
      </c>
      <c r="C107">
        <v>20</v>
      </c>
      <c r="D107">
        <f>Table2[[#This Row],[V1]]/100</f>
        <v>0.25</v>
      </c>
      <c r="E107">
        <f>Table2[[#This Row],[V2]]/100</f>
        <v>0.55000000000000004</v>
      </c>
      <c r="F107">
        <f>Table2[[#This Row],[V3]]/100</f>
        <v>0.2</v>
      </c>
      <c r="G107">
        <f>SUM(Table2[[#This Row],[w1]:[w3]])</f>
        <v>1</v>
      </c>
      <c r="H10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6.2174149783510648</v>
      </c>
      <c r="I107" s="19">
        <f>Table2[[#This Row],[w1]]*$N$7+Table2[[#This Row],[w2]]*$N$10+Table2[[#This Row],[w3]]*$R$7</f>
        <v>0.81540524999999975</v>
      </c>
      <c r="J107" s="19"/>
      <c r="K107" s="46">
        <f>$N$3+ ('Step1 '!$C$1-$N$3)*H107/'Step1 '!$C$2</f>
        <v>0.88743278642058443</v>
      </c>
    </row>
    <row r="108" spans="1:11" x14ac:dyDescent="0.25">
      <c r="A108">
        <v>25</v>
      </c>
      <c r="B108">
        <v>60</v>
      </c>
      <c r="C108">
        <v>15</v>
      </c>
      <c r="D108">
        <f>Table2[[#This Row],[V1]]/100</f>
        <v>0.25</v>
      </c>
      <c r="E108">
        <f>Table2[[#This Row],[V2]]/100</f>
        <v>0.6</v>
      </c>
      <c r="F108">
        <f>Table2[[#This Row],[V3]]/100</f>
        <v>0.15</v>
      </c>
      <c r="G108">
        <f>SUM(Table2[[#This Row],[w1]:[w3]])</f>
        <v>1</v>
      </c>
      <c r="H10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6.2490563356125373</v>
      </c>
      <c r="I108" s="19">
        <f>Table2[[#This Row],[w1]]*$N$7+Table2[[#This Row],[w2]]*$N$10+Table2[[#This Row],[w3]]*$R$7</f>
        <v>0.802733364583333</v>
      </c>
      <c r="J108" s="19"/>
      <c r="K108" s="46">
        <f>$N$3+ ('Step1 '!$C$1-$N$3)*H108/'Step1 '!$C$2</f>
        <v>0.88965894747324192</v>
      </c>
    </row>
    <row r="109" spans="1:11" x14ac:dyDescent="0.25">
      <c r="A109">
        <v>25</v>
      </c>
      <c r="B109">
        <v>65</v>
      </c>
      <c r="C109">
        <v>10</v>
      </c>
      <c r="D109">
        <f>Table2[[#This Row],[V1]]/100</f>
        <v>0.25</v>
      </c>
      <c r="E109">
        <f>Table2[[#This Row],[V2]]/100</f>
        <v>0.65</v>
      </c>
      <c r="F109">
        <f>Table2[[#This Row],[V3]]/100</f>
        <v>0.1</v>
      </c>
      <c r="G109">
        <f>SUM(Table2[[#This Row],[w1]:[w3]])</f>
        <v>1</v>
      </c>
      <c r="H10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6.3511638725515471</v>
      </c>
      <c r="I109" s="19">
        <f>Table2[[#This Row],[w1]]*$N$7+Table2[[#This Row],[w2]]*$N$10+Table2[[#This Row],[w3]]*$R$7</f>
        <v>0.79006147916666636</v>
      </c>
      <c r="J109" s="19"/>
      <c r="K109" s="46">
        <f>$N$3+ ('Step1 '!$C$1-$N$3)*H109/'Step1 '!$C$2</f>
        <v>0.8968428308963845</v>
      </c>
    </row>
    <row r="110" spans="1:11" x14ac:dyDescent="0.25">
      <c r="A110">
        <v>25</v>
      </c>
      <c r="B110">
        <v>70</v>
      </c>
      <c r="C110">
        <v>5</v>
      </c>
      <c r="D110">
        <f>Table2[[#This Row],[V1]]/100</f>
        <v>0.25</v>
      </c>
      <c r="E110">
        <f>Table2[[#This Row],[V2]]/100</f>
        <v>0.7</v>
      </c>
      <c r="F110">
        <f>Table2[[#This Row],[V3]]/100</f>
        <v>0.05</v>
      </c>
      <c r="G110">
        <f>SUM(Table2[[#This Row],[w1]:[w3]])</f>
        <v>1</v>
      </c>
      <c r="H11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6.5204280046679814</v>
      </c>
      <c r="I110" s="19">
        <f>Table2[[#This Row],[w1]]*$N$7+Table2[[#This Row],[w2]]*$N$10+Table2[[#This Row],[w3]]*$R$7</f>
        <v>0.77738959374999972</v>
      </c>
      <c r="J110" s="19"/>
      <c r="K110" s="46">
        <f>$N$3+ ('Step1 '!$C$1-$N$3)*H110/'Step1 '!$C$2</f>
        <v>0.90875158738289308</v>
      </c>
    </row>
    <row r="111" spans="1:11" x14ac:dyDescent="0.25">
      <c r="A111">
        <v>25</v>
      </c>
      <c r="B111">
        <v>75</v>
      </c>
      <c r="C111">
        <v>0</v>
      </c>
      <c r="D111">
        <f>Table2[[#This Row],[V1]]/100</f>
        <v>0.25</v>
      </c>
      <c r="E111">
        <f>Table2[[#This Row],[V2]]/100</f>
        <v>0.75</v>
      </c>
      <c r="F111">
        <f>Table2[[#This Row],[V3]]/100</f>
        <v>0</v>
      </c>
      <c r="G111">
        <f>SUM(Table2[[#This Row],[w1]:[w3]])</f>
        <v>1</v>
      </c>
      <c r="H11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6.7517998763161442</v>
      </c>
      <c r="I111" s="19">
        <f>Table2[[#This Row],[w1]]*$N$7+Table2[[#This Row],[w2]]*$N$10+Table2[[#This Row],[w3]]*$R$7</f>
        <v>0.76471770833333297</v>
      </c>
      <c r="J111" s="19"/>
      <c r="K111" s="46">
        <f>$N$3+ ('Step1 '!$C$1-$N$3)*H111/'Step1 '!$C$2</f>
        <v>0.9250299993703206</v>
      </c>
    </row>
    <row r="112" spans="1:11" x14ac:dyDescent="0.25">
      <c r="A112">
        <v>30</v>
      </c>
      <c r="B112">
        <v>0</v>
      </c>
      <c r="C112">
        <v>70</v>
      </c>
      <c r="D112">
        <f>Table2[[#This Row],[V1]]/100</f>
        <v>0.3</v>
      </c>
      <c r="E112">
        <f>Table2[[#This Row],[V2]]/100</f>
        <v>0</v>
      </c>
      <c r="F112">
        <f>Table2[[#This Row],[V3]]/100</f>
        <v>0.7</v>
      </c>
      <c r="G112">
        <f>SUM(Table2[[#This Row],[w1]:[w3]])</f>
        <v>1</v>
      </c>
      <c r="H11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9.1060218719592427</v>
      </c>
      <c r="I112" s="19">
        <f>Table2[[#This Row],[w1]]*$N$7+Table2[[#This Row],[w2]]*$N$10+Table2[[#This Row],[w3]]*$R$7</f>
        <v>0.92999977916666654</v>
      </c>
      <c r="J112" s="19"/>
      <c r="K112" s="46">
        <f>$N$3+ ('Step1 '!$C$1-$N$3)*H112/'Step1 '!$C$2</f>
        <v>1.090663770156505</v>
      </c>
    </row>
    <row r="113" spans="1:11" x14ac:dyDescent="0.25">
      <c r="A113">
        <v>30</v>
      </c>
      <c r="B113">
        <v>5</v>
      </c>
      <c r="C113">
        <v>65</v>
      </c>
      <c r="D113">
        <f>Table2[[#This Row],[V1]]/100</f>
        <v>0.3</v>
      </c>
      <c r="E113">
        <f>Table2[[#This Row],[V2]]/100</f>
        <v>0.05</v>
      </c>
      <c r="F113">
        <f>Table2[[#This Row],[V3]]/100</f>
        <v>0.65</v>
      </c>
      <c r="G113">
        <f>SUM(Table2[[#This Row],[w1]:[w3]])</f>
        <v>1</v>
      </c>
      <c r="H11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8.6148694433863593</v>
      </c>
      <c r="I113" s="19">
        <f>Table2[[#This Row],[w1]]*$N$7+Table2[[#This Row],[w2]]*$N$10+Table2[[#This Row],[w3]]*$R$7</f>
        <v>0.9173278937499999</v>
      </c>
      <c r="J113" s="19"/>
      <c r="K113" s="46">
        <f>$N$3+ ('Step1 '!$C$1-$N$3)*H113/'Step1 '!$C$2</f>
        <v>1.0561082231750079</v>
      </c>
    </row>
    <row r="114" spans="1:11" x14ac:dyDescent="0.25">
      <c r="A114">
        <v>30</v>
      </c>
      <c r="B114">
        <v>10</v>
      </c>
      <c r="C114">
        <v>60</v>
      </c>
      <c r="D114">
        <f>Table2[[#This Row],[V1]]/100</f>
        <v>0.3</v>
      </c>
      <c r="E114">
        <f>Table2[[#This Row],[V2]]/100</f>
        <v>0.1</v>
      </c>
      <c r="F114">
        <f>Table2[[#This Row],[V3]]/100</f>
        <v>0.6</v>
      </c>
      <c r="G114">
        <f>SUM(Table2[[#This Row],[w1]:[w3]])</f>
        <v>1</v>
      </c>
      <c r="H11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8.1488918325311932</v>
      </c>
      <c r="I114" s="19">
        <f>Table2[[#This Row],[w1]]*$N$7+Table2[[#This Row],[w2]]*$N$10+Table2[[#This Row],[w3]]*$R$7</f>
        <v>0.90465600833333326</v>
      </c>
      <c r="J114" s="19"/>
      <c r="K114" s="46">
        <f>$N$3+ ('Step1 '!$C$1-$N$3)*H114/'Step1 '!$C$2</f>
        <v>1.0233238770382729</v>
      </c>
    </row>
    <row r="115" spans="1:11" x14ac:dyDescent="0.25">
      <c r="A115">
        <v>30</v>
      </c>
      <c r="B115">
        <v>15</v>
      </c>
      <c r="C115">
        <v>55</v>
      </c>
      <c r="D115">
        <f>Table2[[#This Row],[V1]]/100</f>
        <v>0.3</v>
      </c>
      <c r="E115">
        <f>Table2[[#This Row],[V2]]/100</f>
        <v>0.15</v>
      </c>
      <c r="F115">
        <f>Table2[[#This Row],[V3]]/100</f>
        <v>0.55000000000000004</v>
      </c>
      <c r="G115">
        <f>SUM(Table2[[#This Row],[w1]:[w3]])</f>
        <v>1</v>
      </c>
      <c r="H11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7.7126533727184281</v>
      </c>
      <c r="I115" s="19">
        <f>Table2[[#This Row],[w1]]*$N$7+Table2[[#This Row],[w2]]*$N$10+Table2[[#This Row],[w3]]*$R$7</f>
        <v>0.89198412291666651</v>
      </c>
      <c r="J115" s="19"/>
      <c r="K115" s="46">
        <f>$N$3+ ('Step1 '!$C$1-$N$3)*H115/'Step1 '!$C$2</f>
        <v>0.99263186022997374</v>
      </c>
    </row>
    <row r="116" spans="1:11" x14ac:dyDescent="0.25">
      <c r="A116">
        <v>30</v>
      </c>
      <c r="B116">
        <v>20</v>
      </c>
      <c r="C116">
        <v>50</v>
      </c>
      <c r="D116">
        <f>Table2[[#This Row],[V1]]/100</f>
        <v>0.3</v>
      </c>
      <c r="E116">
        <f>Table2[[#This Row],[V2]]/100</f>
        <v>0.2</v>
      </c>
      <c r="F116">
        <f>Table2[[#This Row],[V3]]/100</f>
        <v>0.5</v>
      </c>
      <c r="G116">
        <f>SUM(Table2[[#This Row],[w1]:[w3]])</f>
        <v>1</v>
      </c>
      <c r="H11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7.3114791509533834</v>
      </c>
      <c r="I116" s="19">
        <f>Table2[[#This Row],[w1]]*$N$7+Table2[[#This Row],[w2]]*$N$10+Table2[[#This Row],[w3]]*$R$7</f>
        <v>0.87931223749999987</v>
      </c>
      <c r="J116" s="19"/>
      <c r="K116" s="46">
        <f>$N$3+ ('Step1 '!$C$1-$N$3)*H116/'Step1 '!$C$2</f>
        <v>0.96440682486112106</v>
      </c>
    </row>
    <row r="117" spans="1:11" x14ac:dyDescent="0.25">
      <c r="A117">
        <v>30</v>
      </c>
      <c r="B117">
        <v>25</v>
      </c>
      <c r="C117">
        <v>45</v>
      </c>
      <c r="D117">
        <f>Table2[[#This Row],[V1]]/100</f>
        <v>0.3</v>
      </c>
      <c r="E117">
        <f>Table2[[#This Row],[V2]]/100</f>
        <v>0.25</v>
      </c>
      <c r="F117">
        <f>Table2[[#This Row],[V3]]/100</f>
        <v>0.45</v>
      </c>
      <c r="G117">
        <f>SUM(Table2[[#This Row],[w1]:[w3]])</f>
        <v>1</v>
      </c>
      <c r="H11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6.9514425898267191</v>
      </c>
      <c r="I117" s="19">
        <f>Table2[[#This Row],[w1]]*$N$7+Table2[[#This Row],[w2]]*$N$10+Table2[[#This Row],[w3]]*$R$7</f>
        <v>0.86664035208333323</v>
      </c>
      <c r="J117" s="19"/>
      <c r="K117" s="46">
        <f>$N$3+ ('Step1 '!$C$1-$N$3)*H117/'Step1 '!$C$2</f>
        <v>0.93907607298187457</v>
      </c>
    </row>
    <row r="118" spans="1:11" x14ac:dyDescent="0.25">
      <c r="A118">
        <v>30</v>
      </c>
      <c r="B118">
        <v>30</v>
      </c>
      <c r="C118">
        <v>40</v>
      </c>
      <c r="D118">
        <f>Table2[[#This Row],[V1]]/100</f>
        <v>0.3</v>
      </c>
      <c r="E118">
        <f>Table2[[#This Row],[V2]]/100</f>
        <v>0.3</v>
      </c>
      <c r="F118">
        <f>Table2[[#This Row],[V3]]/100</f>
        <v>0.4</v>
      </c>
      <c r="G118">
        <f>SUM(Table2[[#This Row],[w1]:[w3]])</f>
        <v>1</v>
      </c>
      <c r="H11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6.6392395771049975</v>
      </c>
      <c r="I118" s="19">
        <f>Table2[[#This Row],[w1]]*$N$7+Table2[[#This Row],[w2]]*$N$10+Table2[[#This Row],[w3]]*$R$7</f>
        <v>0.85396846666666648</v>
      </c>
      <c r="J118" s="19"/>
      <c r="K118" s="46">
        <f>$N$3+ ('Step1 '!$C$1-$N$3)*H118/'Step1 '!$C$2</f>
        <v>0.91711070083616919</v>
      </c>
    </row>
    <row r="119" spans="1:11" x14ac:dyDescent="0.25">
      <c r="A119">
        <v>30</v>
      </c>
      <c r="B119">
        <v>35</v>
      </c>
      <c r="C119">
        <v>35</v>
      </c>
      <c r="D119">
        <f>Table2[[#This Row],[V1]]/100</f>
        <v>0.3</v>
      </c>
      <c r="E119">
        <f>Table2[[#This Row],[V2]]/100</f>
        <v>0.35</v>
      </c>
      <c r="F119">
        <f>Table2[[#This Row],[V3]]/100</f>
        <v>0.35</v>
      </c>
      <c r="G119">
        <f>SUM(Table2[[#This Row],[w1]:[w3]])</f>
        <v>0.99999999999999989</v>
      </c>
      <c r="H11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6.3818940466328344</v>
      </c>
      <c r="I119" s="19">
        <f>Table2[[#This Row],[w1]]*$N$7+Table2[[#This Row],[w2]]*$N$10+Table2[[#This Row],[w3]]*$R$7</f>
        <v>0.84129658124999973</v>
      </c>
      <c r="J119" s="19"/>
      <c r="K119" s="46">
        <f>$N$3+ ('Step1 '!$C$1-$N$3)*H119/'Step1 '!$C$2</f>
        <v>0.8990048846956521</v>
      </c>
    </row>
    <row r="120" spans="1:11" x14ac:dyDescent="0.25">
      <c r="A120">
        <v>30</v>
      </c>
      <c r="B120">
        <v>40</v>
      </c>
      <c r="C120">
        <v>30</v>
      </c>
      <c r="D120">
        <f>Table2[[#This Row],[V1]]/100</f>
        <v>0.3</v>
      </c>
      <c r="E120">
        <f>Table2[[#This Row],[V2]]/100</f>
        <v>0.4</v>
      </c>
      <c r="F120">
        <f>Table2[[#This Row],[V3]]/100</f>
        <v>0.3</v>
      </c>
      <c r="G120">
        <f>SUM(Table2[[#This Row],[w1]:[w3]])</f>
        <v>1</v>
      </c>
      <c r="H12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6.1862559323396589</v>
      </c>
      <c r="I120" s="19">
        <f>Table2[[#This Row],[w1]]*$N$7+Table2[[#This Row],[w2]]*$N$10+Table2[[#This Row],[w3]]*$R$7</f>
        <v>0.82862469583333309</v>
      </c>
      <c r="J120" s="19"/>
      <c r="K120" s="46">
        <f>$N$3+ ('Step1 '!$C$1-$N$3)*H120/'Step1 '!$C$2</f>
        <v>0.88524055888447239</v>
      </c>
    </row>
    <row r="121" spans="1:11" x14ac:dyDescent="0.25">
      <c r="A121">
        <v>30</v>
      </c>
      <c r="B121">
        <v>45</v>
      </c>
      <c r="C121">
        <v>25</v>
      </c>
      <c r="D121">
        <f>Table2[[#This Row],[V1]]/100</f>
        <v>0.3</v>
      </c>
      <c r="E121">
        <f>Table2[[#This Row],[V2]]/100</f>
        <v>0.45</v>
      </c>
      <c r="F121">
        <f>Table2[[#This Row],[V3]]/100</f>
        <v>0.25</v>
      </c>
      <c r="G121">
        <f>SUM(Table2[[#This Row],[w1]:[w3]])</f>
        <v>1</v>
      </c>
      <c r="H12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6.0583062547280804</v>
      </c>
      <c r="I121" s="19">
        <f>Table2[[#This Row],[w1]]*$N$7+Table2[[#This Row],[w2]]*$N$10+Table2[[#This Row],[w3]]*$R$7</f>
        <v>0.81595281041666645</v>
      </c>
      <c r="J121" s="19"/>
      <c r="K121" s="46">
        <f>$N$3+ ('Step1 '!$C$1-$N$3)*H121/'Step1 '!$C$2</f>
        <v>0.87623852440645655</v>
      </c>
    </row>
    <row r="122" spans="1:11" x14ac:dyDescent="0.25">
      <c r="A122">
        <v>30</v>
      </c>
      <c r="B122">
        <v>50</v>
      </c>
      <c r="C122">
        <v>20</v>
      </c>
      <c r="D122">
        <f>Table2[[#This Row],[V1]]/100</f>
        <v>0.3</v>
      </c>
      <c r="E122">
        <f>Table2[[#This Row],[V2]]/100</f>
        <v>0.5</v>
      </c>
      <c r="F122">
        <f>Table2[[#This Row],[V3]]/100</f>
        <v>0.2</v>
      </c>
      <c r="G122">
        <f>SUM(Table2[[#This Row],[w1]:[w3]])</f>
        <v>1</v>
      </c>
      <c r="H12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6.0023752189826372</v>
      </c>
      <c r="I122" s="19">
        <f>Table2[[#This Row],[w1]]*$N$7+Table2[[#This Row],[w2]]*$N$10+Table2[[#This Row],[w3]]*$R$7</f>
        <v>0.8032809249999997</v>
      </c>
      <c r="J122" s="19"/>
      <c r="K122" s="46">
        <f>$N$3+ ('Step1 '!$C$1-$N$3)*H122/'Step1 '!$C$2</f>
        <v>0.87230343741311467</v>
      </c>
    </row>
    <row r="123" spans="1:11" x14ac:dyDescent="0.25">
      <c r="A123">
        <v>30</v>
      </c>
      <c r="B123">
        <v>55</v>
      </c>
      <c r="C123">
        <v>15</v>
      </c>
      <c r="D123">
        <f>Table2[[#This Row],[V1]]/100</f>
        <v>0.3</v>
      </c>
      <c r="E123">
        <f>Table2[[#This Row],[V2]]/100</f>
        <v>0.55000000000000004</v>
      </c>
      <c r="F123">
        <f>Table2[[#This Row],[V3]]/100</f>
        <v>0.15</v>
      </c>
      <c r="G123">
        <f>SUM(Table2[[#This Row],[w1]:[w3]])</f>
        <v>1</v>
      </c>
      <c r="H12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6.0204703504415722</v>
      </c>
      <c r="I123" s="19">
        <f>Table2[[#This Row],[w1]]*$N$7+Table2[[#This Row],[w2]]*$N$10+Table2[[#This Row],[w3]]*$R$7</f>
        <v>0.79060903958333317</v>
      </c>
      <c r="J123" s="19"/>
      <c r="K123" s="46">
        <f>$N$3+ ('Step1 '!$C$1-$N$3)*H123/'Step1 '!$C$2</f>
        <v>0.87357653946634573</v>
      </c>
    </row>
    <row r="124" spans="1:11" x14ac:dyDescent="0.25">
      <c r="A124">
        <v>30</v>
      </c>
      <c r="B124">
        <v>60</v>
      </c>
      <c r="C124">
        <v>10</v>
      </c>
      <c r="D124">
        <f>Table2[[#This Row],[V1]]/100</f>
        <v>0.3</v>
      </c>
      <c r="E124">
        <f>Table2[[#This Row],[V2]]/100</f>
        <v>0.6</v>
      </c>
      <c r="F124">
        <f>Table2[[#This Row],[V3]]/100</f>
        <v>0.1</v>
      </c>
      <c r="G124">
        <f>SUM(Table2[[#This Row],[w1]:[w3]])</f>
        <v>0.99999999999999989</v>
      </c>
      <c r="H12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6.1119341938002734</v>
      </c>
      <c r="I124" s="19">
        <f>Table2[[#This Row],[w1]]*$N$7+Table2[[#This Row],[w2]]*$N$10+Table2[[#This Row],[w3]]*$R$7</f>
        <v>0.77793715416666631</v>
      </c>
      <c r="J124" s="19"/>
      <c r="K124" s="46">
        <f>$N$3+ ('Step1 '!$C$1-$N$3)*H124/'Step1 '!$C$2</f>
        <v>0.8800115746049757</v>
      </c>
    </row>
    <row r="125" spans="1:11" x14ac:dyDescent="0.25">
      <c r="A125">
        <v>30</v>
      </c>
      <c r="B125">
        <v>65</v>
      </c>
      <c r="C125">
        <v>5</v>
      </c>
      <c r="D125">
        <f>Table2[[#This Row],[V1]]/100</f>
        <v>0.3</v>
      </c>
      <c r="E125">
        <f>Table2[[#This Row],[V2]]/100</f>
        <v>0.65</v>
      </c>
      <c r="F125">
        <f>Table2[[#This Row],[V3]]/100</f>
        <v>0.05</v>
      </c>
      <c r="G125">
        <f>SUM(Table2[[#This Row],[w1]:[w3]])</f>
        <v>1</v>
      </c>
      <c r="H12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6.2735585847151922</v>
      </c>
      <c r="I125" s="19">
        <f>Table2[[#This Row],[w1]]*$N$7+Table2[[#This Row],[w2]]*$N$10+Table2[[#This Row],[w3]]*$R$7</f>
        <v>0.76526526874999967</v>
      </c>
      <c r="J125" s="19"/>
      <c r="K125" s="46">
        <f>$N$3+ ('Step1 '!$C$1-$N$3)*H125/'Step1 '!$C$2</f>
        <v>0.89138282904393762</v>
      </c>
    </row>
    <row r="126" spans="1:11" x14ac:dyDescent="0.25">
      <c r="A126">
        <v>30</v>
      </c>
      <c r="B126">
        <v>70</v>
      </c>
      <c r="C126">
        <v>0</v>
      </c>
      <c r="D126">
        <f>Table2[[#This Row],[V1]]/100</f>
        <v>0.3</v>
      </c>
      <c r="E126">
        <f>Table2[[#This Row],[V2]]/100</f>
        <v>0.7</v>
      </c>
      <c r="F126">
        <f>Table2[[#This Row],[V3]]/100</f>
        <v>0</v>
      </c>
      <c r="G126">
        <f>SUM(Table2[[#This Row],[w1]:[w3]])</f>
        <v>1</v>
      </c>
      <c r="H12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6.5001120313477747</v>
      </c>
      <c r="I126" s="19">
        <f>Table2[[#This Row],[w1]]*$N$7+Table2[[#This Row],[w2]]*$N$10+Table2[[#This Row],[w3]]*$R$7</f>
        <v>0.75259338333333303</v>
      </c>
      <c r="J126" s="19"/>
      <c r="K126" s="46">
        <f>$N$3+ ('Step1 '!$C$1-$N$3)*H126/'Step1 '!$C$2</f>
        <v>0.90732223565886494</v>
      </c>
    </row>
    <row r="127" spans="1:11" x14ac:dyDescent="0.25">
      <c r="A127">
        <v>35</v>
      </c>
      <c r="B127">
        <v>0</v>
      </c>
      <c r="C127">
        <v>65</v>
      </c>
      <c r="D127">
        <f>Table2[[#This Row],[V1]]/100</f>
        <v>0.35</v>
      </c>
      <c r="E127">
        <f>Table2[[#This Row],[V2]]/100</f>
        <v>0</v>
      </c>
      <c r="F127">
        <f>Table2[[#This Row],[V3]]/100</f>
        <v>0.65</v>
      </c>
      <c r="G127">
        <f>SUM(Table2[[#This Row],[w1]:[w3]])</f>
        <v>1</v>
      </c>
      <c r="H12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8.5756364396479992</v>
      </c>
      <c r="I127" s="19">
        <f>Table2[[#This Row],[w1]]*$N$7+Table2[[#This Row],[w2]]*$N$10+Table2[[#This Row],[w3]]*$R$7</f>
        <v>0.90520356874999996</v>
      </c>
      <c r="J127" s="19"/>
      <c r="K127" s="46">
        <f>$N$3+ ('Step1 '!$C$1-$N$3)*H127/'Step1 '!$C$2</f>
        <v>1.0533479438298656</v>
      </c>
    </row>
    <row r="128" spans="1:11" x14ac:dyDescent="0.25">
      <c r="A128">
        <v>35</v>
      </c>
      <c r="B128">
        <v>5</v>
      </c>
      <c r="C128">
        <v>60</v>
      </c>
      <c r="D128">
        <f>Table2[[#This Row],[V1]]/100</f>
        <v>0.35</v>
      </c>
      <c r="E128">
        <f>Table2[[#This Row],[V2]]/100</f>
        <v>0.05</v>
      </c>
      <c r="F128">
        <f>Table2[[#This Row],[V3]]/100</f>
        <v>0.6</v>
      </c>
      <c r="G128">
        <f>SUM(Table2[[#This Row],[w1]:[w3]])</f>
        <v>1</v>
      </c>
      <c r="H12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8.0964870045702142</v>
      </c>
      <c r="I128" s="19">
        <f>Table2[[#This Row],[w1]]*$N$7+Table2[[#This Row],[w2]]*$N$10+Table2[[#This Row],[w3]]*$R$7</f>
        <v>0.89253168333333321</v>
      </c>
      <c r="J128" s="19"/>
      <c r="K128" s="46">
        <f>$N$3+ ('Step1 '!$C$1-$N$3)*H128/'Step1 '!$C$2</f>
        <v>1.0196368801116271</v>
      </c>
    </row>
    <row r="129" spans="1:11" x14ac:dyDescent="0.25">
      <c r="A129">
        <v>35</v>
      </c>
      <c r="B129">
        <v>10</v>
      </c>
      <c r="C129">
        <v>55</v>
      </c>
      <c r="D129">
        <f>Table2[[#This Row],[V1]]/100</f>
        <v>0.35</v>
      </c>
      <c r="E129">
        <f>Table2[[#This Row],[V2]]/100</f>
        <v>0.1</v>
      </c>
      <c r="F129">
        <f>Table2[[#This Row],[V3]]/100</f>
        <v>0.55000000000000004</v>
      </c>
      <c r="G129">
        <f>SUM(Table2[[#This Row],[w1]:[w3]])</f>
        <v>1</v>
      </c>
      <c r="H12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7.645703673504479</v>
      </c>
      <c r="I129" s="19">
        <f>Table2[[#This Row],[w1]]*$N$7+Table2[[#This Row],[w2]]*$N$10+Table2[[#This Row],[w3]]*$R$7</f>
        <v>0.87985979791666658</v>
      </c>
      <c r="J129" s="19"/>
      <c r="K129" s="46">
        <f>$N$3+ ('Step1 '!$C$1-$N$3)*H129/'Step1 '!$C$2</f>
        <v>0.9879215435502684</v>
      </c>
    </row>
    <row r="130" spans="1:11" x14ac:dyDescent="0.25">
      <c r="A130">
        <v>35</v>
      </c>
      <c r="B130">
        <v>15</v>
      </c>
      <c r="C130">
        <v>50</v>
      </c>
      <c r="D130">
        <f>Table2[[#This Row],[V1]]/100</f>
        <v>0.35</v>
      </c>
      <c r="E130">
        <f>Table2[[#This Row],[V2]]/100</f>
        <v>0.15</v>
      </c>
      <c r="F130">
        <f>Table2[[#This Row],[V3]]/100</f>
        <v>0.5</v>
      </c>
      <c r="G130">
        <f>SUM(Table2[[#This Row],[w1]:[w3]])</f>
        <v>1</v>
      </c>
      <c r="H13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7.228595222352344</v>
      </c>
      <c r="I130" s="19">
        <f>Table2[[#This Row],[w1]]*$N$7+Table2[[#This Row],[w2]]*$N$10+Table2[[#This Row],[w3]]*$R$7</f>
        <v>0.86718791249999982</v>
      </c>
      <c r="J130" s="19"/>
      <c r="K130" s="46">
        <f>$N$3+ ('Step1 '!$C$1-$N$3)*H130/'Step1 '!$C$2</f>
        <v>0.9585754386718961</v>
      </c>
    </row>
    <row r="131" spans="1:11" x14ac:dyDescent="0.25">
      <c r="A131">
        <v>35</v>
      </c>
      <c r="B131">
        <v>20</v>
      </c>
      <c r="C131">
        <v>45</v>
      </c>
      <c r="D131">
        <f>Table2[[#This Row],[V1]]/100</f>
        <v>0.35</v>
      </c>
      <c r="E131">
        <f>Table2[[#This Row],[V2]]/100</f>
        <v>0.2</v>
      </c>
      <c r="F131">
        <f>Table2[[#This Row],[V3]]/100</f>
        <v>0.45</v>
      </c>
      <c r="G131">
        <f>SUM(Table2[[#This Row],[w1]:[w3]])</f>
        <v>1</v>
      </c>
      <c r="H13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6.8513148002336113</v>
      </c>
      <c r="I131" s="19">
        <f>Table2[[#This Row],[w1]]*$N$7+Table2[[#This Row],[w2]]*$N$10+Table2[[#This Row],[w3]]*$R$7</f>
        <v>0.85451602708333319</v>
      </c>
      <c r="J131" s="19"/>
      <c r="K131" s="46">
        <f>$N$3+ ('Step1 '!$C$1-$N$3)*H131/'Step1 '!$C$2</f>
        <v>0.93203147677069109</v>
      </c>
    </row>
    <row r="132" spans="1:11" x14ac:dyDescent="0.25">
      <c r="A132">
        <v>35</v>
      </c>
      <c r="B132">
        <v>25</v>
      </c>
      <c r="C132">
        <v>40</v>
      </c>
      <c r="D132">
        <f>Table2[[#This Row],[V1]]/100</f>
        <v>0.35</v>
      </c>
      <c r="E132">
        <f>Table2[[#This Row],[V2]]/100</f>
        <v>0.25</v>
      </c>
      <c r="F132">
        <f>Table2[[#This Row],[V3]]/100</f>
        <v>0.4</v>
      </c>
      <c r="G132">
        <f>SUM(Table2[[#This Row],[w1]:[w3]])</f>
        <v>1</v>
      </c>
      <c r="H13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6.5207792074946722</v>
      </c>
      <c r="I132" s="19">
        <f>Table2[[#This Row],[w1]]*$N$7+Table2[[#This Row],[w2]]*$N$10+Table2[[#This Row],[w3]]*$R$7</f>
        <v>0.84184414166666643</v>
      </c>
      <c r="J132" s="19"/>
      <c r="K132" s="46">
        <f>$N$3+ ('Step1 '!$C$1-$N$3)*H132/'Step1 '!$C$2</f>
        <v>0.9087762966280718</v>
      </c>
    </row>
    <row r="133" spans="1:11" x14ac:dyDescent="0.25">
      <c r="A133">
        <v>35</v>
      </c>
      <c r="B133">
        <v>30</v>
      </c>
      <c r="C133">
        <v>35</v>
      </c>
      <c r="D133">
        <f>Table2[[#This Row],[V1]]/100</f>
        <v>0.35</v>
      </c>
      <c r="E133">
        <f>Table2[[#This Row],[V2]]/100</f>
        <v>0.3</v>
      </c>
      <c r="F133">
        <f>Table2[[#This Row],[V3]]/100</f>
        <v>0.35</v>
      </c>
      <c r="G133">
        <f>SUM(Table2[[#This Row],[w1]:[w3]])</f>
        <v>0.99999999999999989</v>
      </c>
      <c r="H13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6.2444158919469235</v>
      </c>
      <c r="I133" s="19">
        <f>Table2[[#This Row],[w1]]*$N$7+Table2[[#This Row],[w2]]*$N$10+Table2[[#This Row],[w3]]*$R$7</f>
        <v>0.8291722562499998</v>
      </c>
      <c r="J133" s="19"/>
      <c r="K133" s="46">
        <f>$N$3+ ('Step1 '!$C$1-$N$3)*H133/'Step1 '!$C$2</f>
        <v>0.88933246416628164</v>
      </c>
    </row>
    <row r="134" spans="1:11" x14ac:dyDescent="0.25">
      <c r="A134">
        <v>35</v>
      </c>
      <c r="B134">
        <v>35</v>
      </c>
      <c r="C134">
        <v>30</v>
      </c>
      <c r="D134">
        <f>Table2[[#This Row],[V1]]/100</f>
        <v>0.35</v>
      </c>
      <c r="E134">
        <f>Table2[[#This Row],[V2]]/100</f>
        <v>0.35</v>
      </c>
      <c r="F134">
        <f>Table2[[#This Row],[V3]]/100</f>
        <v>0.3</v>
      </c>
      <c r="G134">
        <f>SUM(Table2[[#This Row],[w1]:[w3]])</f>
        <v>1</v>
      </c>
      <c r="H13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6.0296782308854162</v>
      </c>
      <c r="I134" s="19">
        <f>Table2[[#This Row],[w1]]*$N$7+Table2[[#This Row],[w2]]*$N$10+Table2[[#This Row],[w3]]*$R$7</f>
        <v>0.81650037083333316</v>
      </c>
      <c r="J134" s="19"/>
      <c r="K134" s="46">
        <f>$N$3+ ('Step1 '!$C$1-$N$3)*H134/'Step1 '!$C$2</f>
        <v>0.87422436960372651</v>
      </c>
    </row>
    <row r="135" spans="1:11" x14ac:dyDescent="0.25">
      <c r="A135">
        <v>35</v>
      </c>
      <c r="B135">
        <v>40</v>
      </c>
      <c r="C135">
        <v>25</v>
      </c>
      <c r="D135">
        <f>Table2[[#This Row],[V1]]/100</f>
        <v>0.35</v>
      </c>
      <c r="E135">
        <f>Table2[[#This Row],[V2]]/100</f>
        <v>0.4</v>
      </c>
      <c r="F135">
        <f>Table2[[#This Row],[V3]]/100</f>
        <v>0.25</v>
      </c>
      <c r="G135">
        <f>SUM(Table2[[#This Row],[w1]:[w3]])</f>
        <v>1</v>
      </c>
      <c r="H13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5.8833179994062377</v>
      </c>
      <c r="I135" s="19">
        <f>Table2[[#This Row],[w1]]*$N$7+Table2[[#This Row],[w2]]*$N$10+Table2[[#This Row],[w3]]*$R$7</f>
        <v>0.80382848541666641</v>
      </c>
      <c r="J135" s="19"/>
      <c r="K135" s="46">
        <f>$N$3+ ('Step1 '!$C$1-$N$3)*H135/'Step1 '!$C$2</f>
        <v>0.86392704119633779</v>
      </c>
    </row>
    <row r="136" spans="1:11" x14ac:dyDescent="0.25">
      <c r="A136">
        <v>35</v>
      </c>
      <c r="B136">
        <v>45</v>
      </c>
      <c r="C136">
        <v>20</v>
      </c>
      <c r="D136">
        <f>Table2[[#This Row],[V1]]/100</f>
        <v>0.35</v>
      </c>
      <c r="E136">
        <f>Table2[[#This Row],[V2]]/100</f>
        <v>0.45</v>
      </c>
      <c r="F136">
        <f>Table2[[#This Row],[V3]]/100</f>
        <v>0.2</v>
      </c>
      <c r="G136">
        <f>SUM(Table2[[#This Row],[w1]:[w3]])</f>
        <v>1</v>
      </c>
      <c r="H13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5.8105045541649023</v>
      </c>
      <c r="I136" s="19">
        <f>Table2[[#This Row],[w1]]*$N$7+Table2[[#This Row],[w2]]*$N$10+Table2[[#This Row],[w3]]*$R$7</f>
        <v>0.79115659999999977</v>
      </c>
      <c r="J136" s="19"/>
      <c r="K136" s="46">
        <f>$N$3+ ('Step1 '!$C$1-$N$3)*H136/'Step1 '!$C$2</f>
        <v>0.85880417448216406</v>
      </c>
    </row>
    <row r="137" spans="1:11" x14ac:dyDescent="0.25">
      <c r="A137">
        <v>35</v>
      </c>
      <c r="B137">
        <v>50</v>
      </c>
      <c r="C137">
        <v>15</v>
      </c>
      <c r="D137">
        <f>Table2[[#This Row],[V1]]/100</f>
        <v>0.35</v>
      </c>
      <c r="E137">
        <f>Table2[[#This Row],[V2]]/100</f>
        <v>0.5</v>
      </c>
      <c r="F137">
        <f>Table2[[#This Row],[V3]]/100</f>
        <v>0.15</v>
      </c>
      <c r="G137">
        <f>SUM(Table2[[#This Row],[w1]:[w3]])</f>
        <v>1</v>
      </c>
      <c r="H13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5.8140018097274844</v>
      </c>
      <c r="I137" s="19">
        <f>Table2[[#This Row],[w1]]*$N$7+Table2[[#This Row],[w2]]*$N$10+Table2[[#This Row],[w3]]*$R$7</f>
        <v>0.77848471458333313</v>
      </c>
      <c r="J137" s="19"/>
      <c r="K137" s="46">
        <f>$N$3+ ('Step1 '!$C$1-$N$3)*H137/'Step1 '!$C$2</f>
        <v>0.85905022758476246</v>
      </c>
    </row>
    <row r="138" spans="1:11" x14ac:dyDescent="0.25">
      <c r="A138">
        <v>35</v>
      </c>
      <c r="B138">
        <v>55</v>
      </c>
      <c r="C138">
        <v>10</v>
      </c>
      <c r="D138">
        <f>Table2[[#This Row],[V1]]/100</f>
        <v>0.35</v>
      </c>
      <c r="E138">
        <f>Table2[[#This Row],[V2]]/100</f>
        <v>0.55000000000000004</v>
      </c>
      <c r="F138">
        <f>Table2[[#This Row],[V3]]/100</f>
        <v>0.1</v>
      </c>
      <c r="G138">
        <f>SUM(Table2[[#This Row],[w1]:[w3]])</f>
        <v>1</v>
      </c>
      <c r="H13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5.8936739213132245</v>
      </c>
      <c r="I138" s="19">
        <f>Table2[[#This Row],[w1]]*$N$7+Table2[[#This Row],[w2]]*$N$10+Table2[[#This Row],[w3]]*$R$7</f>
        <v>0.76581282916666649</v>
      </c>
      <c r="J138" s="19"/>
      <c r="K138" s="46">
        <f>$N$3+ ('Step1 '!$C$1-$N$3)*H138/'Step1 '!$C$2</f>
        <v>0.86465564300134856</v>
      </c>
    </row>
    <row r="139" spans="1:11" x14ac:dyDescent="0.25">
      <c r="A139">
        <v>35</v>
      </c>
      <c r="B139">
        <v>60</v>
      </c>
      <c r="C139">
        <v>5</v>
      </c>
      <c r="D139">
        <f>Table2[[#This Row],[V1]]/100</f>
        <v>0.35</v>
      </c>
      <c r="E139">
        <f>Table2[[#This Row],[V2]]/100</f>
        <v>0.6</v>
      </c>
      <c r="F139">
        <f>Table2[[#This Row],[V3]]/100</f>
        <v>0.05</v>
      </c>
      <c r="G139">
        <f>SUM(Table2[[#This Row],[w1]:[w3]])</f>
        <v>1</v>
      </c>
      <c r="H13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6.046510474292627</v>
      </c>
      <c r="I139" s="19">
        <f>Table2[[#This Row],[w1]]*$N$7+Table2[[#This Row],[w2]]*$N$10+Table2[[#This Row],[w3]]*$R$7</f>
        <v>0.75314094374999963</v>
      </c>
      <c r="J139" s="19"/>
      <c r="K139" s="46">
        <f>$N$3+ ('Step1 '!$C$1-$N$3)*H139/'Step1 '!$C$2</f>
        <v>0.87540861983649432</v>
      </c>
    </row>
    <row r="140" spans="1:11" x14ac:dyDescent="0.25">
      <c r="A140">
        <v>35</v>
      </c>
      <c r="B140">
        <v>65</v>
      </c>
      <c r="C140">
        <v>0</v>
      </c>
      <c r="D140">
        <f>Table2[[#This Row],[V1]]/100</f>
        <v>0.35</v>
      </c>
      <c r="E140">
        <f>Table2[[#This Row],[V2]]/100</f>
        <v>0.65</v>
      </c>
      <c r="F140">
        <f>Table2[[#This Row],[V3]]/100</f>
        <v>0</v>
      </c>
      <c r="G140">
        <f>SUM(Table2[[#This Row],[w1]:[w3]])</f>
        <v>1</v>
      </c>
      <c r="H14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6.2671609934964208</v>
      </c>
      <c r="I140" s="19">
        <f>Table2[[#This Row],[w1]]*$N$7+Table2[[#This Row],[w2]]*$N$10+Table2[[#This Row],[w3]]*$R$7</f>
        <v>0.7404690583333331</v>
      </c>
      <c r="J140" s="19"/>
      <c r="K140" s="46">
        <f>$N$3+ ('Step1 '!$C$1-$N$3)*H140/'Step1 '!$C$2</f>
        <v>0.89093271976814492</v>
      </c>
    </row>
    <row r="141" spans="1:11" x14ac:dyDescent="0.25">
      <c r="A141">
        <v>40</v>
      </c>
      <c r="B141">
        <v>0</v>
      </c>
      <c r="C141">
        <v>60</v>
      </c>
      <c r="D141">
        <f>Table2[[#This Row],[V1]]/100</f>
        <v>0.4</v>
      </c>
      <c r="E141">
        <f>Table2[[#This Row],[V2]]/100</f>
        <v>0</v>
      </c>
      <c r="F141">
        <f>Table2[[#This Row],[V3]]/100</f>
        <v>0.6</v>
      </c>
      <c r="G141">
        <f>SUM(Table2[[#This Row],[w1]:[w3]])</f>
        <v>1</v>
      </c>
      <c r="H14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8.0661614898374481</v>
      </c>
      <c r="I141" s="19">
        <f>Table2[[#This Row],[w1]]*$N$7+Table2[[#This Row],[w2]]*$N$10+Table2[[#This Row],[w3]]*$R$7</f>
        <v>0.88040735833333328</v>
      </c>
      <c r="J141" s="19"/>
      <c r="K141" s="46">
        <f>$N$3+ ('Step1 '!$C$1-$N$3)*H141/'Step1 '!$C$2</f>
        <v>1.0175032965474959</v>
      </c>
    </row>
    <row r="142" spans="1:11" x14ac:dyDescent="0.25">
      <c r="A142">
        <v>40</v>
      </c>
      <c r="B142">
        <v>5</v>
      </c>
      <c r="C142">
        <v>55</v>
      </c>
      <c r="D142">
        <f>Table2[[#This Row],[V1]]/100</f>
        <v>0.4</v>
      </c>
      <c r="E142">
        <f>Table2[[#This Row],[V2]]/100</f>
        <v>0.05</v>
      </c>
      <c r="F142">
        <f>Table2[[#This Row],[V3]]/100</f>
        <v>0.55000000000000004</v>
      </c>
      <c r="G142">
        <f>SUM(Table2[[#This Row],[w1]:[w3]])</f>
        <v>1</v>
      </c>
      <c r="H14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7.6019565196373211</v>
      </c>
      <c r="I142" s="19">
        <f>Table2[[#This Row],[w1]]*$N$7+Table2[[#This Row],[w2]]*$N$10+Table2[[#This Row],[w3]]*$R$7</f>
        <v>0.86773547291666664</v>
      </c>
      <c r="J142" s="19"/>
      <c r="K142" s="46">
        <f>$N$3+ ('Step1 '!$C$1-$N$3)*H142/'Step1 '!$C$2</f>
        <v>0.98484366641311172</v>
      </c>
    </row>
    <row r="143" spans="1:11" x14ac:dyDescent="0.25">
      <c r="A143">
        <v>40</v>
      </c>
      <c r="B143">
        <v>10</v>
      </c>
      <c r="C143">
        <v>50</v>
      </c>
      <c r="D143">
        <f>Table2[[#This Row],[V1]]/100</f>
        <v>0.4</v>
      </c>
      <c r="E143">
        <f>Table2[[#This Row],[V2]]/100</f>
        <v>0.1</v>
      </c>
      <c r="F143">
        <f>Table2[[#This Row],[V3]]/100</f>
        <v>0.5</v>
      </c>
      <c r="G143">
        <f>SUM(Table2[[#This Row],[w1]:[w3]])</f>
        <v>1</v>
      </c>
      <c r="H14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7.1699822908069875</v>
      </c>
      <c r="I143" s="19">
        <f>Table2[[#This Row],[w1]]*$N$7+Table2[[#This Row],[w2]]*$N$10+Table2[[#This Row],[w3]]*$R$7</f>
        <v>0.85506358749999989</v>
      </c>
      <c r="J143" s="19"/>
      <c r="K143" s="46">
        <f>$N$3+ ('Step1 '!$C$1-$N$3)*H143/'Step1 '!$C$2</f>
        <v>0.9544516640717704</v>
      </c>
    </row>
    <row r="144" spans="1:11" x14ac:dyDescent="0.25">
      <c r="A144">
        <v>40</v>
      </c>
      <c r="B144">
        <v>15</v>
      </c>
      <c r="C144">
        <v>45</v>
      </c>
      <c r="D144">
        <f>Table2[[#This Row],[V1]]/100</f>
        <v>0.4</v>
      </c>
      <c r="E144">
        <f>Table2[[#This Row],[V2]]/100</f>
        <v>0.15</v>
      </c>
      <c r="F144">
        <f>Table2[[#This Row],[V3]]/100</f>
        <v>0.45</v>
      </c>
      <c r="G144">
        <f>SUM(Table2[[#This Row],[w1]:[w3]])</f>
        <v>1</v>
      </c>
      <c r="H14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6.7764054300362648</v>
      </c>
      <c r="I144" s="19">
        <f>Table2[[#This Row],[w1]]*$N$7+Table2[[#This Row],[w2]]*$N$10+Table2[[#This Row],[w3]]*$R$7</f>
        <v>0.84239170208333325</v>
      </c>
      <c r="J144" s="19"/>
      <c r="K144" s="46">
        <f>$N$3+ ('Step1 '!$C$1-$N$3)*H144/'Step1 '!$C$2</f>
        <v>0.92676114904630191</v>
      </c>
    </row>
    <row r="145" spans="1:11" x14ac:dyDescent="0.25">
      <c r="A145">
        <v>40</v>
      </c>
      <c r="B145">
        <v>20</v>
      </c>
      <c r="C145">
        <v>40</v>
      </c>
      <c r="D145">
        <f>Table2[[#This Row],[V1]]/100</f>
        <v>0.4</v>
      </c>
      <c r="E145">
        <f>Table2[[#This Row],[V2]]/100</f>
        <v>0.2</v>
      </c>
      <c r="F145">
        <f>Table2[[#This Row],[V3]]/100</f>
        <v>0.4</v>
      </c>
      <c r="G145">
        <f>SUM(Table2[[#This Row],[w1]:[w3]])</f>
        <v>1</v>
      </c>
      <c r="H14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6.4282825413693416</v>
      </c>
      <c r="I145" s="19">
        <f>Table2[[#This Row],[w1]]*$N$7+Table2[[#This Row],[w2]]*$N$10+Table2[[#This Row],[w3]]*$R$7</f>
        <v>0.82971981666666661</v>
      </c>
      <c r="J145" s="19"/>
      <c r="K145" s="46">
        <f>$N$3+ ('Step1 '!$C$1-$N$3)*H145/'Step1 '!$C$2</f>
        <v>0.90226859615469135</v>
      </c>
    </row>
    <row r="146" spans="1:11" x14ac:dyDescent="0.25">
      <c r="A146">
        <v>40</v>
      </c>
      <c r="B146">
        <v>25</v>
      </c>
      <c r="C146">
        <v>35</v>
      </c>
      <c r="D146">
        <f>Table2[[#This Row],[V1]]/100</f>
        <v>0.4</v>
      </c>
      <c r="E146">
        <f>Table2[[#This Row],[V2]]/100</f>
        <v>0.25</v>
      </c>
      <c r="F146">
        <f>Table2[[#This Row],[V3]]/100</f>
        <v>0.35</v>
      </c>
      <c r="G146">
        <f>SUM(Table2[[#This Row],[w1]:[w3]])</f>
        <v>1</v>
      </c>
      <c r="H14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6.1333582716838349</v>
      </c>
      <c r="I146" s="19">
        <f>Table2[[#This Row],[w1]]*$N$7+Table2[[#This Row],[w2]]*$N$10+Table2[[#This Row],[w3]]*$R$7</f>
        <v>0.81704793124999986</v>
      </c>
      <c r="J146" s="19"/>
      <c r="K146" s="46">
        <f>$N$3+ ('Step1 '!$C$1-$N$3)*H146/'Step1 '!$C$2</f>
        <v>0.88151888819393975</v>
      </c>
    </row>
    <row r="147" spans="1:11" x14ac:dyDescent="0.25">
      <c r="A147">
        <v>40</v>
      </c>
      <c r="B147">
        <v>30</v>
      </c>
      <c r="C147">
        <v>30</v>
      </c>
      <c r="D147">
        <f>Table2[[#This Row],[V1]]/100</f>
        <v>0.4</v>
      </c>
      <c r="E147">
        <f>Table2[[#This Row],[V2]]/100</f>
        <v>0.3</v>
      </c>
      <c r="F147">
        <f>Table2[[#This Row],[V3]]/100</f>
        <v>0.3</v>
      </c>
      <c r="G147">
        <f>SUM(Table2[[#This Row],[w1]:[w3]])</f>
        <v>1</v>
      </c>
      <c r="H14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5.8996162861410646</v>
      </c>
      <c r="I147" s="19">
        <f>Table2[[#This Row],[w1]]*$N$7+Table2[[#This Row],[w2]]*$N$10+Table2[[#This Row],[w3]]*$R$7</f>
        <v>0.80437604583333322</v>
      </c>
      <c r="J147" s="19"/>
      <c r="K147" s="46">
        <f>$N$3+ ('Step1 '!$C$1-$N$3)*H147/'Step1 '!$C$2</f>
        <v>0.86507372434441798</v>
      </c>
    </row>
    <row r="148" spans="1:11" x14ac:dyDescent="0.25">
      <c r="A148">
        <v>40</v>
      </c>
      <c r="B148">
        <v>35</v>
      </c>
      <c r="C148">
        <v>25</v>
      </c>
      <c r="D148">
        <f>Table2[[#This Row],[V1]]/100</f>
        <v>0.4</v>
      </c>
      <c r="E148">
        <f>Table2[[#This Row],[V2]]/100</f>
        <v>0.35</v>
      </c>
      <c r="F148">
        <f>Table2[[#This Row],[V3]]/100</f>
        <v>0.25</v>
      </c>
      <c r="G148">
        <f>SUM(Table2[[#This Row],[w1]:[w3]])</f>
        <v>1</v>
      </c>
      <c r="H14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5.7345429056097386</v>
      </c>
      <c r="I148" s="19">
        <f>Table2[[#This Row],[w1]]*$N$7+Table2[[#This Row],[w2]]*$N$10+Table2[[#This Row],[w3]]*$R$7</f>
        <v>0.79170416041666658</v>
      </c>
      <c r="J148" s="19"/>
      <c r="K148" s="46">
        <f>$N$3+ ('Step1 '!$C$1-$N$3)*H148/'Step1 '!$C$2</f>
        <v>0.8534598126043923</v>
      </c>
    </row>
    <row r="149" spans="1:11" x14ac:dyDescent="0.25">
      <c r="A149">
        <v>40</v>
      </c>
      <c r="B149">
        <v>40</v>
      </c>
      <c r="C149">
        <v>20</v>
      </c>
      <c r="D149">
        <f>Table2[[#This Row],[V1]]/100</f>
        <v>0.4</v>
      </c>
      <c r="E149">
        <f>Table2[[#This Row],[V2]]/100</f>
        <v>0.4</v>
      </c>
      <c r="F149">
        <f>Table2[[#This Row],[V3]]/100</f>
        <v>0.2</v>
      </c>
      <c r="G149">
        <f>SUM(Table2[[#This Row],[w1]:[w3]])</f>
        <v>1</v>
      </c>
      <c r="H14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5.6441663446931498</v>
      </c>
      <c r="I149" s="19">
        <f>Table2[[#This Row],[w1]]*$N$7+Table2[[#This Row],[w2]]*$N$10+Table2[[#This Row],[w3]]*$R$7</f>
        <v>0.77903227499999983</v>
      </c>
      <c r="J149" s="19"/>
      <c r="K149" s="46">
        <f>$N$3+ ('Step1 '!$C$1-$N$3)*H149/'Step1 '!$C$2</f>
        <v>0.84710127436840377</v>
      </c>
    </row>
    <row r="150" spans="1:11" x14ac:dyDescent="0.25">
      <c r="A150">
        <v>40</v>
      </c>
      <c r="B150">
        <v>45</v>
      </c>
      <c r="C150">
        <v>15</v>
      </c>
      <c r="D150">
        <f>Table2[[#This Row],[V1]]/100</f>
        <v>0.4</v>
      </c>
      <c r="E150">
        <f>Table2[[#This Row],[V2]]/100</f>
        <v>0.45</v>
      </c>
      <c r="F150">
        <f>Table2[[#This Row],[V3]]/100</f>
        <v>0.15</v>
      </c>
      <c r="G150">
        <f>SUM(Table2[[#This Row],[w1]:[w3]])</f>
        <v>1</v>
      </c>
      <c r="H15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5.6320836725464583</v>
      </c>
      <c r="I150" s="19">
        <f>Table2[[#This Row],[w1]]*$N$7+Table2[[#This Row],[w2]]*$N$10+Table2[[#This Row],[w3]]*$R$7</f>
        <v>0.7663603895833333</v>
      </c>
      <c r="J150" s="19"/>
      <c r="K150" s="46">
        <f>$N$3+ ('Step1 '!$C$1-$N$3)*H150/'Step1 '!$C$2</f>
        <v>0.84625118522959974</v>
      </c>
    </row>
    <row r="151" spans="1:11" x14ac:dyDescent="0.25">
      <c r="A151">
        <v>40</v>
      </c>
      <c r="B151">
        <v>50</v>
      </c>
      <c r="C151">
        <v>10</v>
      </c>
      <c r="D151">
        <f>Table2[[#This Row],[V1]]/100</f>
        <v>0.4</v>
      </c>
      <c r="E151">
        <f>Table2[[#This Row],[V2]]/100</f>
        <v>0.5</v>
      </c>
      <c r="F151">
        <f>Table2[[#This Row],[V3]]/100</f>
        <v>0.1</v>
      </c>
      <c r="G151">
        <f>SUM(Table2[[#This Row],[w1]:[w3]])</f>
        <v>1</v>
      </c>
      <c r="H15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5.6987929108076658</v>
      </c>
      <c r="I151" s="19">
        <f>Table2[[#This Row],[w1]]*$N$7+Table2[[#This Row],[w2]]*$N$10+Table2[[#This Row],[w3]]*$R$7</f>
        <v>0.75368850416666644</v>
      </c>
      <c r="J151" s="19"/>
      <c r="K151" s="46">
        <f>$N$3+ ('Step1 '!$C$1-$N$3)*H151/'Step1 '!$C$2</f>
        <v>0.85094458402543394</v>
      </c>
    </row>
    <row r="152" spans="1:11" x14ac:dyDescent="0.25">
      <c r="A152">
        <v>40</v>
      </c>
      <c r="B152">
        <v>55</v>
      </c>
      <c r="C152">
        <v>5</v>
      </c>
      <c r="D152">
        <f>Table2[[#This Row],[V1]]/100</f>
        <v>0.4</v>
      </c>
      <c r="E152">
        <f>Table2[[#This Row],[V2]]/100</f>
        <v>0.55000000000000004</v>
      </c>
      <c r="F152">
        <f>Table2[[#This Row],[V3]]/100</f>
        <v>0.05</v>
      </c>
      <c r="G152">
        <f>SUM(Table2[[#This Row],[w1]:[w3]])</f>
        <v>1</v>
      </c>
      <c r="H15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5.8415953440553166</v>
      </c>
      <c r="I152" s="19">
        <f>Table2[[#This Row],[w1]]*$N$7+Table2[[#This Row],[w2]]*$N$10+Table2[[#This Row],[w3]]*$R$7</f>
        <v>0.7410166187499998</v>
      </c>
      <c r="J152" s="19"/>
      <c r="K152" s="46">
        <f>$N$3+ ('Step1 '!$C$1-$N$3)*H152/'Step1 '!$C$2</f>
        <v>0.86099159978691464</v>
      </c>
    </row>
    <row r="153" spans="1:11" x14ac:dyDescent="0.25">
      <c r="A153">
        <v>40</v>
      </c>
      <c r="B153">
        <v>60</v>
      </c>
      <c r="C153">
        <v>0</v>
      </c>
      <c r="D153">
        <f>Table2[[#This Row],[V1]]/100</f>
        <v>0.4</v>
      </c>
      <c r="E153">
        <f>Table2[[#This Row],[V2]]/100</f>
        <v>0.6</v>
      </c>
      <c r="F153">
        <f>Table2[[#This Row],[V3]]/100</f>
        <v>0</v>
      </c>
      <c r="G153">
        <f>SUM(Table2[[#This Row],[w1]:[w3]])</f>
        <v>1</v>
      </c>
      <c r="H15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6.055109665795948</v>
      </c>
      <c r="I153" s="19">
        <f>Table2[[#This Row],[w1]]*$N$7+Table2[[#This Row],[w2]]*$N$10+Table2[[#This Row],[w3]]*$R$7</f>
        <v>0.72834473333333305</v>
      </c>
      <c r="J153" s="19"/>
      <c r="K153" s="46">
        <f>$N$3+ ('Step1 '!$C$1-$N$3)*H153/'Step1 '!$C$2</f>
        <v>0.87601362502166524</v>
      </c>
    </row>
    <row r="154" spans="1:11" x14ac:dyDescent="0.25">
      <c r="A154">
        <v>45</v>
      </c>
      <c r="B154">
        <v>0</v>
      </c>
      <c r="C154">
        <v>55</v>
      </c>
      <c r="D154">
        <f>Table2[[#This Row],[V1]]/100</f>
        <v>0.45</v>
      </c>
      <c r="E154">
        <f>Table2[[#This Row],[V2]]/100</f>
        <v>0</v>
      </c>
      <c r="F154">
        <f>Table2[[#This Row],[V3]]/100</f>
        <v>0.55000000000000004</v>
      </c>
      <c r="G154">
        <f>SUM(Table2[[#This Row],[w1]:[w3]])</f>
        <v>1</v>
      </c>
      <c r="H15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7.5818135586384878</v>
      </c>
      <c r="I154" s="19">
        <f>Table2[[#This Row],[w1]]*$N$7+Table2[[#This Row],[w2]]*$N$10+Table2[[#This Row],[w3]]*$R$7</f>
        <v>0.85561114791666659</v>
      </c>
      <c r="J154" s="19"/>
      <c r="K154" s="46">
        <f>$N$3+ ('Step1 '!$C$1-$N$3)*H154/'Step1 '!$C$2</f>
        <v>0.98342648715337733</v>
      </c>
    </row>
    <row r="155" spans="1:11" x14ac:dyDescent="0.25">
      <c r="A155">
        <v>45</v>
      </c>
      <c r="B155">
        <v>5</v>
      </c>
      <c r="C155">
        <v>50</v>
      </c>
      <c r="D155">
        <f>Table2[[#This Row],[V1]]/100</f>
        <v>0.45</v>
      </c>
      <c r="E155">
        <f>Table2[[#This Row],[V2]]/100</f>
        <v>0.05</v>
      </c>
      <c r="F155">
        <f>Table2[[#This Row],[V3]]/100</f>
        <v>0.5</v>
      </c>
      <c r="G155">
        <f>SUM(Table2[[#This Row],[w1]:[w3]])</f>
        <v>1</v>
      </c>
      <c r="H15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7.1362384251395374</v>
      </c>
      <c r="I155" s="19">
        <f>Table2[[#This Row],[w1]]*$N$7+Table2[[#This Row],[w2]]*$N$10+Table2[[#This Row],[w3]]*$R$7</f>
        <v>0.84293926249999984</v>
      </c>
      <c r="J155" s="19"/>
      <c r="K155" s="46">
        <f>$N$3+ ('Step1 '!$C$1-$N$3)*H155/'Step1 '!$C$2</f>
        <v>0.95207757882333355</v>
      </c>
    </row>
    <row r="156" spans="1:11" x14ac:dyDescent="0.25">
      <c r="A156">
        <v>45</v>
      </c>
      <c r="B156">
        <v>10</v>
      </c>
      <c r="C156">
        <v>45</v>
      </c>
      <c r="D156">
        <f>Table2[[#This Row],[V1]]/100</f>
        <v>0.45</v>
      </c>
      <c r="E156">
        <f>Table2[[#This Row],[V2]]/100</f>
        <v>0.1</v>
      </c>
      <c r="F156">
        <f>Table2[[#This Row],[V3]]/100</f>
        <v>0.45</v>
      </c>
      <c r="G156">
        <f>SUM(Table2[[#This Row],[w1]:[w3]])</f>
        <v>1</v>
      </c>
      <c r="H15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6.7275569310583592</v>
      </c>
      <c r="I156" s="19">
        <f>Table2[[#This Row],[w1]]*$N$7+Table2[[#This Row],[w2]]*$N$10+Table2[[#This Row],[w3]]*$R$7</f>
        <v>0.83026737708333331</v>
      </c>
      <c r="J156" s="19"/>
      <c r="K156" s="46">
        <f>$N$3+ ('Step1 '!$C$1-$N$3)*H156/'Step1 '!$C$2</f>
        <v>0.92332436139503993</v>
      </c>
    </row>
    <row r="157" spans="1:11" x14ac:dyDescent="0.25">
      <c r="A157">
        <v>45</v>
      </c>
      <c r="B157">
        <v>15</v>
      </c>
      <c r="C157">
        <v>40</v>
      </c>
      <c r="D157">
        <f>Table2[[#This Row],[V1]]/100</f>
        <v>0.45</v>
      </c>
      <c r="E157">
        <f>Table2[[#This Row],[V2]]/100</f>
        <v>0.15</v>
      </c>
      <c r="F157">
        <f>Table2[[#This Row],[V3]]/100</f>
        <v>0.4</v>
      </c>
      <c r="G157">
        <f>SUM(Table2[[#This Row],[w1]:[w3]])</f>
        <v>1</v>
      </c>
      <c r="H15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6.3628819758451005</v>
      </c>
      <c r="I157" s="19">
        <f>Table2[[#This Row],[w1]]*$N$7+Table2[[#This Row],[w2]]*$N$10+Table2[[#This Row],[w3]]*$R$7</f>
        <v>0.81759549166666656</v>
      </c>
      <c r="J157" s="19"/>
      <c r="K157" s="46">
        <f>$N$3+ ('Step1 '!$C$1-$N$3)*H157/'Step1 '!$C$2</f>
        <v>0.89766727040912597</v>
      </c>
    </row>
    <row r="158" spans="1:11" x14ac:dyDescent="0.25">
      <c r="A158">
        <v>45</v>
      </c>
      <c r="B158">
        <v>20</v>
      </c>
      <c r="C158">
        <v>35</v>
      </c>
      <c r="D158">
        <f>Table2[[#This Row],[V1]]/100</f>
        <v>0.45</v>
      </c>
      <c r="E158">
        <f>Table2[[#This Row],[V2]]/100</f>
        <v>0.2</v>
      </c>
      <c r="F158">
        <f>Table2[[#This Row],[V3]]/100</f>
        <v>0.35</v>
      </c>
      <c r="G158">
        <f>SUM(Table2[[#This Row],[w1]:[w3]])</f>
        <v>1</v>
      </c>
      <c r="H15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6.0501762944683906</v>
      </c>
      <c r="I158" s="19">
        <f>Table2[[#This Row],[w1]]*$N$7+Table2[[#This Row],[w2]]*$N$10+Table2[[#This Row],[w3]]*$R$7</f>
        <v>0.80492360624999981</v>
      </c>
      <c r="J158" s="19"/>
      <c r="K158" s="46">
        <f>$N$3+ ('Step1 '!$C$1-$N$3)*H158/'Step1 '!$C$2</f>
        <v>0.87566653248018689</v>
      </c>
    </row>
    <row r="159" spans="1:11" x14ac:dyDescent="0.25">
      <c r="A159">
        <v>45</v>
      </c>
      <c r="B159">
        <v>25</v>
      </c>
      <c r="C159">
        <v>30</v>
      </c>
      <c r="D159">
        <f>Table2[[#This Row],[V1]]/100</f>
        <v>0.45</v>
      </c>
      <c r="E159">
        <f>Table2[[#This Row],[V2]]/100</f>
        <v>0.25</v>
      </c>
      <c r="F159">
        <f>Table2[[#This Row],[V3]]/100</f>
        <v>0.3</v>
      </c>
      <c r="G159">
        <f>SUM(Table2[[#This Row],[w1]:[w3]])</f>
        <v>1</v>
      </c>
      <c r="H15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5.7978548384268649</v>
      </c>
      <c r="I159" s="19">
        <f>Table2[[#This Row],[w1]]*$N$7+Table2[[#This Row],[w2]]*$N$10+Table2[[#This Row],[w3]]*$R$7</f>
        <v>0.79225172083333317</v>
      </c>
      <c r="J159" s="19"/>
      <c r="K159" s="46">
        <f>$N$3+ ('Step1 '!$C$1-$N$3)*H159/'Step1 '!$C$2</f>
        <v>0.85791419039360228</v>
      </c>
    </row>
    <row r="160" spans="1:11" x14ac:dyDescent="0.25">
      <c r="A160">
        <v>45</v>
      </c>
      <c r="B160">
        <v>30</v>
      </c>
      <c r="C160">
        <v>25</v>
      </c>
      <c r="D160">
        <f>Table2[[#This Row],[V1]]/100</f>
        <v>0.45</v>
      </c>
      <c r="E160">
        <f>Table2[[#This Row],[V2]]/100</f>
        <v>0.3</v>
      </c>
      <c r="F160">
        <f>Table2[[#This Row],[V3]]/100</f>
        <v>0.25</v>
      </c>
      <c r="G160">
        <f>SUM(Table2[[#This Row],[w1]:[w3]])</f>
        <v>1</v>
      </c>
      <c r="H16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5.614065339707234</v>
      </c>
      <c r="I160" s="19">
        <f>Table2[[#This Row],[w1]]*$N$7+Table2[[#This Row],[w2]]*$N$10+Table2[[#This Row],[w3]]*$R$7</f>
        <v>0.77957983541666653</v>
      </c>
      <c r="J160" s="19"/>
      <c r="K160" s="46">
        <f>$N$3+ ('Step1 '!$C$1-$N$3)*H160/'Step1 '!$C$2</f>
        <v>0.84498348642423449</v>
      </c>
    </row>
    <row r="161" spans="1:11" x14ac:dyDescent="0.25">
      <c r="A161">
        <v>45</v>
      </c>
      <c r="B161">
        <v>35</v>
      </c>
      <c r="C161">
        <v>20</v>
      </c>
      <c r="D161">
        <f>Table2[[#This Row],[V1]]/100</f>
        <v>0.45</v>
      </c>
      <c r="E161">
        <f>Table2[[#This Row],[V2]]/100</f>
        <v>0.35</v>
      </c>
      <c r="F161">
        <f>Table2[[#This Row],[V3]]/100</f>
        <v>0.2</v>
      </c>
      <c r="G161">
        <f>SUM(Table2[[#This Row],[w1]:[w3]])</f>
        <v>1</v>
      </c>
      <c r="H16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5.5056752471648851</v>
      </c>
      <c r="I161" s="19">
        <f>Table2[[#This Row],[w1]]*$N$7+Table2[[#This Row],[w2]]*$N$10+Table2[[#This Row],[w3]]*$R$7</f>
        <v>0.76690794999999978</v>
      </c>
      <c r="J161" s="19"/>
      <c r="K161" s="46">
        <f>$N$3+ ('Step1 '!$C$1-$N$3)*H161/'Step1 '!$C$2</f>
        <v>0.83735758717731645</v>
      </c>
    </row>
    <row r="162" spans="1:11" x14ac:dyDescent="0.25">
      <c r="A162">
        <v>45</v>
      </c>
      <c r="B162">
        <v>40</v>
      </c>
      <c r="C162">
        <v>15</v>
      </c>
      <c r="D162">
        <f>Table2[[#This Row],[V1]]/100</f>
        <v>0.45</v>
      </c>
      <c r="E162">
        <f>Table2[[#This Row],[V2]]/100</f>
        <v>0.4</v>
      </c>
      <c r="F162">
        <f>Table2[[#This Row],[V3]]/100</f>
        <v>0.15</v>
      </c>
      <c r="G162">
        <f>SUM(Table2[[#This Row],[w1]:[w3]])</f>
        <v>1</v>
      </c>
      <c r="H16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5.4771627320808971</v>
      </c>
      <c r="I162" s="19">
        <f>Table2[[#This Row],[w1]]*$N$7+Table2[[#This Row],[w2]]*$N$10+Table2[[#This Row],[w3]]*$R$7</f>
        <v>0.75423606458333325</v>
      </c>
      <c r="J162" s="19"/>
      <c r="K162" s="46">
        <f>$N$3+ ('Step1 '!$C$1-$N$3)*H162/'Step1 '!$C$2</f>
        <v>0.83535155911509507</v>
      </c>
    </row>
    <row r="163" spans="1:11" x14ac:dyDescent="0.25">
      <c r="A163">
        <v>45</v>
      </c>
      <c r="B163">
        <v>45</v>
      </c>
      <c r="C163">
        <v>10</v>
      </c>
      <c r="D163">
        <f>Table2[[#This Row],[V1]]/100</f>
        <v>0.45</v>
      </c>
      <c r="E163">
        <f>Table2[[#This Row],[V2]]/100</f>
        <v>0.45</v>
      </c>
      <c r="F163">
        <f>Table2[[#This Row],[V3]]/100</f>
        <v>0.1</v>
      </c>
      <c r="G163">
        <f>SUM(Table2[[#This Row],[w1]:[w3]])</f>
        <v>1</v>
      </c>
      <c r="H16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5.5297635245874082</v>
      </c>
      <c r="I163" s="19">
        <f>Table2[[#This Row],[w1]]*$N$7+Table2[[#This Row],[w2]]*$N$10+Table2[[#This Row],[w3]]*$R$7</f>
        <v>0.7415641791666665</v>
      </c>
      <c r="J163" s="19"/>
      <c r="K163" s="46">
        <f>$N$3+ ('Step1 '!$C$1-$N$3)*H163/'Step1 '!$C$2</f>
        <v>0.83905234333396606</v>
      </c>
    </row>
    <row r="164" spans="1:11" x14ac:dyDescent="0.25">
      <c r="A164">
        <v>45</v>
      </c>
      <c r="B164">
        <v>50</v>
      </c>
      <c r="C164">
        <v>5</v>
      </c>
      <c r="D164">
        <f>Table2[[#This Row],[V1]]/100</f>
        <v>0.45</v>
      </c>
      <c r="E164">
        <f>Table2[[#This Row],[V2]]/100</f>
        <v>0.5</v>
      </c>
      <c r="F164">
        <f>Table2[[#This Row],[V3]]/100</f>
        <v>0.05</v>
      </c>
      <c r="G164">
        <f>SUM(Table2[[#This Row],[w1]:[w3]])</f>
        <v>1</v>
      </c>
      <c r="H16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5.6612171005649117</v>
      </c>
      <c r="I164" s="19">
        <f>Table2[[#This Row],[w1]]*$N$7+Table2[[#This Row],[w2]]*$N$10+Table2[[#This Row],[w3]]*$R$7</f>
        <v>0.72889229374999975</v>
      </c>
      <c r="J164" s="19"/>
      <c r="K164" s="46">
        <f>$N$3+ ('Step1 '!$C$1-$N$3)*H164/'Step1 '!$C$2</f>
        <v>0.84830089827601363</v>
      </c>
    </row>
    <row r="165" spans="1:11" x14ac:dyDescent="0.25">
      <c r="A165">
        <v>45</v>
      </c>
      <c r="B165">
        <v>55</v>
      </c>
      <c r="C165">
        <v>0</v>
      </c>
      <c r="D165">
        <f>Table2[[#This Row],[V1]]/100</f>
        <v>0.45</v>
      </c>
      <c r="E165">
        <f>Table2[[#This Row],[V2]]/100</f>
        <v>0.55000000000000004</v>
      </c>
      <c r="F165">
        <f>Table2[[#This Row],[V3]]/100</f>
        <v>0</v>
      </c>
      <c r="G165">
        <f>SUM(Table2[[#This Row],[w1]:[w3]])</f>
        <v>1</v>
      </c>
      <c r="H16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5.8662249240298943</v>
      </c>
      <c r="I165" s="19">
        <f>Table2[[#This Row],[w1]]*$N$7+Table2[[#This Row],[w2]]*$N$10+Table2[[#This Row],[w3]]*$R$7</f>
        <v>0.71622040833333322</v>
      </c>
      <c r="J165" s="19"/>
      <c r="K165" s="46">
        <f>$N$3+ ('Step1 '!$C$1-$N$3)*H165/'Step1 '!$C$2</f>
        <v>0.86272443985536151</v>
      </c>
    </row>
    <row r="166" spans="1:11" x14ac:dyDescent="0.25">
      <c r="A166">
        <v>50</v>
      </c>
      <c r="B166">
        <v>0</v>
      </c>
      <c r="C166">
        <v>50</v>
      </c>
      <c r="D166">
        <f>Table2[[#This Row],[V1]]/100</f>
        <v>0.5</v>
      </c>
      <c r="E166">
        <f>Table2[[#This Row],[V2]]/100</f>
        <v>0</v>
      </c>
      <c r="F166">
        <f>Table2[[#This Row],[V3]]/100</f>
        <v>0.5</v>
      </c>
      <c r="G166">
        <f>SUM(Table2[[#This Row],[w1]:[w3]])</f>
        <v>1</v>
      </c>
      <c r="H16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7.127716837702784</v>
      </c>
      <c r="I166" s="19">
        <f>Table2[[#This Row],[w1]]*$N$7+Table2[[#This Row],[w2]]*$N$10+Table2[[#This Row],[w3]]*$R$7</f>
        <v>0.83081493750000002</v>
      </c>
      <c r="J166" s="19"/>
      <c r="K166" s="46">
        <f>$N$3+ ('Step1 '!$C$1-$N$3)*H166/'Step1 '!$C$2</f>
        <v>0.95147803355409133</v>
      </c>
    </row>
    <row r="167" spans="1:11" x14ac:dyDescent="0.25">
      <c r="A167">
        <v>50</v>
      </c>
      <c r="B167">
        <v>5</v>
      </c>
      <c r="C167">
        <v>45</v>
      </c>
      <c r="D167">
        <f>Table2[[#This Row],[V1]]/100</f>
        <v>0.5</v>
      </c>
      <c r="E167">
        <f>Table2[[#This Row],[V2]]/100</f>
        <v>0.05</v>
      </c>
      <c r="F167">
        <f>Table2[[#This Row],[V3]]/100</f>
        <v>0.45</v>
      </c>
      <c r="G167">
        <f>SUM(Table2[[#This Row],[w1]:[w3]])</f>
        <v>1</v>
      </c>
      <c r="H16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6.7053388890584262</v>
      </c>
      <c r="I167" s="19">
        <f>Table2[[#This Row],[w1]]*$N$7+Table2[[#This Row],[w2]]*$N$10+Table2[[#This Row],[w3]]*$R$7</f>
        <v>0.81814305208333327</v>
      </c>
      <c r="J167" s="19"/>
      <c r="K167" s="46">
        <f>$N$3+ ('Step1 '!$C$1-$N$3)*H167/'Step1 '!$C$2</f>
        <v>0.92176118762351567</v>
      </c>
    </row>
    <row r="168" spans="1:11" x14ac:dyDescent="0.25">
      <c r="A168">
        <v>50</v>
      </c>
      <c r="B168">
        <v>10</v>
      </c>
      <c r="C168">
        <v>40</v>
      </c>
      <c r="D168">
        <f>Table2[[#This Row],[V1]]/100</f>
        <v>0.5</v>
      </c>
      <c r="E168">
        <f>Table2[[#This Row],[V2]]/100</f>
        <v>0.1</v>
      </c>
      <c r="F168">
        <f>Table2[[#This Row],[V3]]/100</f>
        <v>0.4</v>
      </c>
      <c r="G168">
        <f>SUM(Table2[[#This Row],[w1]:[w3]])</f>
        <v>1</v>
      </c>
      <c r="H16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6.3254180331007825</v>
      </c>
      <c r="I168" s="19">
        <f>Table2[[#This Row],[w1]]*$N$7+Table2[[#This Row],[w2]]*$N$10+Table2[[#This Row],[w3]]*$R$7</f>
        <v>0.80547116666666663</v>
      </c>
      <c r="J168" s="19"/>
      <c r="K168" s="46">
        <f>$N$3+ ('Step1 '!$C$1-$N$3)*H168/'Step1 '!$C$2</f>
        <v>0.89503145521551075</v>
      </c>
    </row>
    <row r="169" spans="1:11" x14ac:dyDescent="0.25">
      <c r="A169">
        <v>50</v>
      </c>
      <c r="B169">
        <v>15</v>
      </c>
      <c r="C169">
        <v>35</v>
      </c>
      <c r="D169">
        <f>Table2[[#This Row],[V1]]/100</f>
        <v>0.5</v>
      </c>
      <c r="E169">
        <f>Table2[[#This Row],[V2]]/100</f>
        <v>0.15</v>
      </c>
      <c r="F169">
        <f>Table2[[#This Row],[V3]]/100</f>
        <v>0.35</v>
      </c>
      <c r="G169">
        <f>SUM(Table2[[#This Row],[w1]:[w3]])</f>
        <v>1</v>
      </c>
      <c r="H16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5.9960302156963454</v>
      </c>
      <c r="I169" s="19">
        <f>Table2[[#This Row],[w1]]*$N$7+Table2[[#This Row],[w2]]*$N$10+Table2[[#This Row],[w3]]*$R$7</f>
        <v>0.79279928124999999</v>
      </c>
      <c r="J169" s="19"/>
      <c r="K169" s="46">
        <f>$N$3+ ('Step1 '!$C$1-$N$3)*H169/'Step1 '!$C$2</f>
        <v>0.87185702801676035</v>
      </c>
    </row>
    <row r="170" spans="1:11" x14ac:dyDescent="0.25">
      <c r="A170">
        <v>50</v>
      </c>
      <c r="B170">
        <v>20</v>
      </c>
      <c r="C170">
        <v>30</v>
      </c>
      <c r="D170">
        <f>Table2[[#This Row],[V1]]/100</f>
        <v>0.5</v>
      </c>
      <c r="E170">
        <f>Table2[[#This Row],[V2]]/100</f>
        <v>0.2</v>
      </c>
      <c r="F170">
        <f>Table2[[#This Row],[V3]]/100</f>
        <v>0.3</v>
      </c>
      <c r="G170">
        <f>SUM(Table2[[#This Row],[w1]:[w3]])</f>
        <v>1</v>
      </c>
      <c r="H17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5.7259029662857799</v>
      </c>
      <c r="I170" s="19">
        <f>Table2[[#This Row],[w1]]*$N$7+Table2[[#This Row],[w2]]*$N$10+Table2[[#This Row],[w3]]*$R$7</f>
        <v>0.78012739583333324</v>
      </c>
      <c r="J170" s="19"/>
      <c r="K170" s="46">
        <f>$N$3+ ('Step1 '!$C$1-$N$3)*H170/'Step1 '!$C$2</f>
        <v>0.85285194056333602</v>
      </c>
    </row>
    <row r="171" spans="1:11" x14ac:dyDescent="0.25">
      <c r="A171">
        <v>50</v>
      </c>
      <c r="B171">
        <v>25</v>
      </c>
      <c r="C171">
        <v>25</v>
      </c>
      <c r="D171">
        <f>Table2[[#This Row],[V1]]/100</f>
        <v>0.5</v>
      </c>
      <c r="E171">
        <f>Table2[[#This Row],[V2]]/100</f>
        <v>0.25</v>
      </c>
      <c r="F171">
        <f>Table2[[#This Row],[V3]]/100</f>
        <v>0.25</v>
      </c>
      <c r="G171">
        <f>SUM(Table2[[#This Row],[w1]:[w3]])</f>
        <v>1</v>
      </c>
      <c r="H17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5.5237371940387199</v>
      </c>
      <c r="I171" s="19">
        <f>Table2[[#This Row],[w1]]*$N$7+Table2[[#This Row],[w2]]*$N$10+Table2[[#This Row],[w3]]*$R$7</f>
        <v>0.76745551041666649</v>
      </c>
      <c r="J171" s="19"/>
      <c r="K171" s="46">
        <f>$N$3+ ('Step1 '!$C$1-$N$3)*H171/'Step1 '!$C$2</f>
        <v>0.83862835449407314</v>
      </c>
    </row>
    <row r="172" spans="1:11" x14ac:dyDescent="0.25">
      <c r="A172">
        <v>50</v>
      </c>
      <c r="B172">
        <v>30</v>
      </c>
      <c r="C172">
        <v>20</v>
      </c>
      <c r="D172">
        <f>Table2[[#This Row],[V1]]/100</f>
        <v>0.5</v>
      </c>
      <c r="E172">
        <f>Table2[[#This Row],[V2]]/100</f>
        <v>0.3</v>
      </c>
      <c r="F172">
        <f>Table2[[#This Row],[V3]]/100</f>
        <v>0.2</v>
      </c>
      <c r="G172">
        <f>SUM(Table2[[#This Row],[w1]:[w3]])</f>
        <v>1</v>
      </c>
      <c r="H17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5.3971753516078156</v>
      </c>
      <c r="I172" s="19">
        <f>Table2[[#This Row],[w1]]*$N$7+Table2[[#This Row],[w2]]*$N$10+Table2[[#This Row],[w3]]*$R$7</f>
        <v>0.75478362499999985</v>
      </c>
      <c r="J172" s="19"/>
      <c r="K172" s="46">
        <f>$N$3+ ('Step1 '!$C$1-$N$3)*H172/'Step1 '!$C$2</f>
        <v>0.82972396262352177</v>
      </c>
    </row>
    <row r="173" spans="1:11" x14ac:dyDescent="0.25">
      <c r="A173">
        <v>50</v>
      </c>
      <c r="B173">
        <v>35</v>
      </c>
      <c r="C173">
        <v>15</v>
      </c>
      <c r="D173">
        <f>Table2[[#This Row],[V1]]/100</f>
        <v>0.5</v>
      </c>
      <c r="E173">
        <f>Table2[[#This Row],[V2]]/100</f>
        <v>0.35</v>
      </c>
      <c r="F173">
        <f>Table2[[#This Row],[V3]]/100</f>
        <v>0.15</v>
      </c>
      <c r="G173">
        <f>SUM(Table2[[#This Row],[w1]:[w3]])</f>
        <v>1</v>
      </c>
      <c r="H17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5.3515840964063051</v>
      </c>
      <c r="I173" s="19">
        <f>Table2[[#This Row],[w1]]*$N$7+Table2[[#This Row],[w2]]*$N$10+Table2[[#This Row],[w3]]*$R$7</f>
        <v>0.74211173958333321</v>
      </c>
      <c r="J173" s="19"/>
      <c r="K173" s="46">
        <f>$N$3+ ('Step1 '!$C$1-$N$3)*H173/'Step1 '!$C$2</f>
        <v>0.82651634179257361</v>
      </c>
    </row>
    <row r="174" spans="1:11" x14ac:dyDescent="0.25">
      <c r="A174">
        <v>50</v>
      </c>
      <c r="B174">
        <v>40</v>
      </c>
      <c r="C174">
        <v>10</v>
      </c>
      <c r="D174">
        <f>Table2[[#This Row],[V1]]/100</f>
        <v>0.5</v>
      </c>
      <c r="E174">
        <f>Table2[[#This Row],[V2]]/100</f>
        <v>0.4</v>
      </c>
      <c r="F174">
        <f>Table2[[#This Row],[V3]]/100</f>
        <v>0.1</v>
      </c>
      <c r="G174">
        <f>SUM(Table2[[#This Row],[w1]:[w3]])</f>
        <v>1</v>
      </c>
      <c r="H17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5.3890188609360568</v>
      </c>
      <c r="I174" s="19">
        <f>Table2[[#This Row],[w1]]*$N$7+Table2[[#This Row],[w2]]*$N$10+Table2[[#This Row],[w3]]*$R$7</f>
        <v>0.72943985416666657</v>
      </c>
      <c r="J174" s="19"/>
      <c r="K174" s="46">
        <f>$N$3+ ('Step1 '!$C$1-$N$3)*H174/'Step1 '!$C$2</f>
        <v>0.82915010412213741</v>
      </c>
    </row>
    <row r="175" spans="1:11" x14ac:dyDescent="0.25">
      <c r="A175">
        <v>50</v>
      </c>
      <c r="B175">
        <v>45</v>
      </c>
      <c r="C175">
        <v>5</v>
      </c>
      <c r="D175">
        <f>Table2[[#This Row],[V1]]/100</f>
        <v>0.5</v>
      </c>
      <c r="E175">
        <f>Table2[[#This Row],[V2]]/100</f>
        <v>0.45</v>
      </c>
      <c r="F175">
        <f>Table2[[#This Row],[V3]]/100</f>
        <v>0.05</v>
      </c>
      <c r="G175">
        <f>SUM(Table2[[#This Row],[w1]:[w3]])</f>
        <v>1</v>
      </c>
      <c r="H17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5.5077869969571225</v>
      </c>
      <c r="I175" s="19">
        <f>Table2[[#This Row],[w1]]*$N$7+Table2[[#This Row],[w2]]*$N$10+Table2[[#This Row],[w3]]*$R$7</f>
        <v>0.71676796874999993</v>
      </c>
      <c r="J175" s="19"/>
      <c r="K175" s="46">
        <f>$N$3+ ('Step1 '!$C$1-$N$3)*H175/'Step1 '!$C$2</f>
        <v>0.83750616156057023</v>
      </c>
    </row>
    <row r="176" spans="1:11" x14ac:dyDescent="0.25">
      <c r="A176">
        <v>50</v>
      </c>
      <c r="B176">
        <v>50</v>
      </c>
      <c r="C176">
        <v>0</v>
      </c>
      <c r="D176">
        <f>Table2[[#This Row],[V1]]/100</f>
        <v>0.5</v>
      </c>
      <c r="E176">
        <f>Table2[[#This Row],[V2]]/100</f>
        <v>0.5</v>
      </c>
      <c r="F176">
        <f>Table2[[#This Row],[V3]]/100</f>
        <v>0</v>
      </c>
      <c r="G176">
        <f>SUM(Table2[[#This Row],[w1]:[w3]])</f>
        <v>1</v>
      </c>
      <c r="H17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5.7028091588168275</v>
      </c>
      <c r="I176" s="19">
        <f>Table2[[#This Row],[w1]]*$N$7+Table2[[#This Row],[w2]]*$N$10+Table2[[#This Row],[w3]]*$R$7</f>
        <v>0.70409608333333318</v>
      </c>
      <c r="J176" s="19"/>
      <c r="K176" s="46">
        <f>$N$3+ ('Step1 '!$C$1-$N$3)*H176/'Step1 '!$C$2</f>
        <v>0.8512271513888352</v>
      </c>
    </row>
    <row r="177" spans="1:11" x14ac:dyDescent="0.25">
      <c r="A177">
        <v>55</v>
      </c>
      <c r="B177">
        <v>0</v>
      </c>
      <c r="C177">
        <v>45</v>
      </c>
      <c r="D177">
        <f>Table2[[#This Row],[V1]]/100</f>
        <v>0.55000000000000004</v>
      </c>
      <c r="E177">
        <f>Table2[[#This Row],[V2]]/100</f>
        <v>0</v>
      </c>
      <c r="F177">
        <f>Table2[[#This Row],[V3]]/100</f>
        <v>0.45</v>
      </c>
      <c r="G177">
        <f>SUM(Table2[[#This Row],[w1]:[w3]])</f>
        <v>1</v>
      </c>
      <c r="H17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6.7100158436242729</v>
      </c>
      <c r="I177" s="19">
        <f>Table2[[#This Row],[w1]]*$N$7+Table2[[#This Row],[w2]]*$N$10+Table2[[#This Row],[w3]]*$R$7</f>
        <v>0.80601872708333333</v>
      </c>
      <c r="J177" s="19"/>
      <c r="K177" s="46">
        <f>$N$3+ ('Step1 '!$C$1-$N$3)*H177/'Step1 '!$C$2</f>
        <v>0.92209023969335879</v>
      </c>
    </row>
    <row r="178" spans="1:11" x14ac:dyDescent="0.25">
      <c r="A178">
        <v>55</v>
      </c>
      <c r="B178">
        <v>5</v>
      </c>
      <c r="C178">
        <v>40</v>
      </c>
      <c r="D178">
        <f>Table2[[#This Row],[V1]]/100</f>
        <v>0.55000000000000004</v>
      </c>
      <c r="E178">
        <f>Table2[[#This Row],[V2]]/100</f>
        <v>0.05</v>
      </c>
      <c r="F178">
        <f>Table2[[#This Row],[V3]]/100</f>
        <v>0.4</v>
      </c>
      <c r="G178">
        <f>SUM(Table2[[#This Row],[w1]:[w3]])</f>
        <v>1</v>
      </c>
      <c r="H17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6.3163878282211439</v>
      </c>
      <c r="I178" s="19">
        <f>Table2[[#This Row],[w1]]*$N$7+Table2[[#This Row],[w2]]*$N$10+Table2[[#This Row],[w3]]*$R$7</f>
        <v>0.79334684166666669</v>
      </c>
      <c r="J178" s="19"/>
      <c r="K178" s="46">
        <f>$N$3+ ('Step1 '!$C$1-$N$3)*H178/'Step1 '!$C$2</f>
        <v>0.8943961256297901</v>
      </c>
    </row>
    <row r="179" spans="1:11" x14ac:dyDescent="0.25">
      <c r="A179">
        <v>55</v>
      </c>
      <c r="B179">
        <v>10</v>
      </c>
      <c r="C179">
        <v>35</v>
      </c>
      <c r="D179">
        <f>Table2[[#This Row],[V1]]/100</f>
        <v>0.55000000000000004</v>
      </c>
      <c r="E179">
        <f>Table2[[#This Row],[V2]]/100</f>
        <v>0.1</v>
      </c>
      <c r="F179">
        <f>Table2[[#This Row],[V3]]/100</f>
        <v>0.35</v>
      </c>
      <c r="G179">
        <f>SUM(Table2[[#This Row],[w1]:[w3]])</f>
        <v>1</v>
      </c>
      <c r="H17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5.9717099016128854</v>
      </c>
      <c r="I179" s="19">
        <f>Table2[[#This Row],[w1]]*$N$7+Table2[[#This Row],[w2]]*$N$10+Table2[[#This Row],[w3]]*$R$7</f>
        <v>0.78067495624999994</v>
      </c>
      <c r="J179" s="19"/>
      <c r="K179" s="46">
        <f>$N$3+ ('Step1 '!$C$1-$N$3)*H179/'Step1 '!$C$2</f>
        <v>0.87014594667617184</v>
      </c>
    </row>
    <row r="180" spans="1:11" x14ac:dyDescent="0.25">
      <c r="A180">
        <v>55</v>
      </c>
      <c r="B180">
        <v>15</v>
      </c>
      <c r="C180">
        <v>30</v>
      </c>
      <c r="D180">
        <f>Table2[[#This Row],[V1]]/100</f>
        <v>0.55000000000000004</v>
      </c>
      <c r="E180">
        <f>Table2[[#This Row],[V2]]/100</f>
        <v>0.15</v>
      </c>
      <c r="F180">
        <f>Table2[[#This Row],[V3]]/100</f>
        <v>0.3</v>
      </c>
      <c r="G180">
        <f>SUM(Table2[[#This Row],[w1]:[w3]])</f>
        <v>1</v>
      </c>
      <c r="H18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5.6848926532743169</v>
      </c>
      <c r="I180" s="19">
        <f>Table2[[#This Row],[w1]]*$N$7+Table2[[#This Row],[w2]]*$N$10+Table2[[#This Row],[w3]]*$R$7</f>
        <v>0.7680030708333333</v>
      </c>
      <c r="J180" s="19"/>
      <c r="K180" s="46">
        <f>$N$3+ ('Step1 '!$C$1-$N$3)*H180/'Step1 '!$C$2</f>
        <v>0.84996661675029661</v>
      </c>
    </row>
    <row r="181" spans="1:11" x14ac:dyDescent="0.25">
      <c r="A181">
        <v>55</v>
      </c>
      <c r="B181">
        <v>20</v>
      </c>
      <c r="C181">
        <v>25</v>
      </c>
      <c r="D181">
        <f>Table2[[#This Row],[V1]]/100</f>
        <v>0.55000000000000004</v>
      </c>
      <c r="E181">
        <f>Table2[[#This Row],[V2]]/100</f>
        <v>0.2</v>
      </c>
      <c r="F181">
        <f>Table2[[#This Row],[V3]]/100</f>
        <v>0.25</v>
      </c>
      <c r="G181">
        <f>SUM(Table2[[#This Row],[w1]:[w3]])</f>
        <v>1</v>
      </c>
      <c r="H18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5.4650536307700541</v>
      </c>
      <c r="I181" s="19">
        <f>Table2[[#This Row],[w1]]*$N$7+Table2[[#This Row],[w2]]*$N$10+Table2[[#This Row],[w3]]*$R$7</f>
        <v>0.75533118541666666</v>
      </c>
      <c r="J181" s="19"/>
      <c r="K181" s="46">
        <f>$N$3+ ('Step1 '!$C$1-$N$3)*H181/'Step1 '!$C$2</f>
        <v>0.83449961052458033</v>
      </c>
    </row>
    <row r="182" spans="1:11" x14ac:dyDescent="0.25">
      <c r="A182">
        <v>55</v>
      </c>
      <c r="B182">
        <v>25</v>
      </c>
      <c r="C182">
        <v>20</v>
      </c>
      <c r="D182">
        <f>Table2[[#This Row],[V1]]/100</f>
        <v>0.55000000000000004</v>
      </c>
      <c r="E182">
        <f>Table2[[#This Row],[V2]]/100</f>
        <v>0.25</v>
      </c>
      <c r="F182">
        <f>Table2[[#This Row],[V3]]/100</f>
        <v>0.2</v>
      </c>
      <c r="G182">
        <f>SUM(Table2[[#This Row],[w1]:[w3]])</f>
        <v>1</v>
      </c>
      <c r="H18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5.3205017876928986</v>
      </c>
      <c r="I182" s="19">
        <f>Table2[[#This Row],[w1]]*$N$7+Table2[[#This Row],[w2]]*$N$10+Table2[[#This Row],[w3]]*$R$7</f>
        <v>0.74265929999999991</v>
      </c>
      <c r="J182" s="19"/>
      <c r="K182" s="46">
        <f>$N$3+ ('Step1 '!$C$1-$N$3)*H182/'Step1 '!$C$2</f>
        <v>0.82432951318997372</v>
      </c>
    </row>
    <row r="183" spans="1:11" x14ac:dyDescent="0.25">
      <c r="A183">
        <v>55</v>
      </c>
      <c r="B183">
        <v>30</v>
      </c>
      <c r="C183">
        <v>15</v>
      </c>
      <c r="D183">
        <f>Table2[[#This Row],[V1]]/100</f>
        <v>0.55000000000000004</v>
      </c>
      <c r="E183">
        <f>Table2[[#This Row],[V2]]/100</f>
        <v>0.3</v>
      </c>
      <c r="F183">
        <f>Table2[[#This Row],[V3]]/100</f>
        <v>0.15</v>
      </c>
      <c r="G183">
        <f>SUM(Table2[[#This Row],[w1]:[w3]])</f>
        <v>1</v>
      </c>
      <c r="H18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5.257450783050988</v>
      </c>
      <c r="I183" s="19">
        <f>Table2[[#This Row],[w1]]*$N$7+Table2[[#This Row],[w2]]*$N$10+Table2[[#This Row],[w3]]*$R$7</f>
        <v>0.72998741458333316</v>
      </c>
      <c r="J183" s="19"/>
      <c r="K183" s="46">
        <f>$N$3+ ('Step1 '!$C$1-$N$3)*H183/'Step1 '!$C$2</f>
        <v>0.81989349327765271</v>
      </c>
    </row>
    <row r="184" spans="1:11" x14ac:dyDescent="0.25">
      <c r="A184">
        <v>55</v>
      </c>
      <c r="B184">
        <v>35</v>
      </c>
      <c r="C184">
        <v>10</v>
      </c>
      <c r="D184">
        <f>Table2[[#This Row],[V1]]/100</f>
        <v>0.55000000000000004</v>
      </c>
      <c r="E184">
        <f>Table2[[#This Row],[V2]]/100</f>
        <v>0.35</v>
      </c>
      <c r="F184">
        <f>Table2[[#This Row],[V3]]/100</f>
        <v>0.1</v>
      </c>
      <c r="G184">
        <f>SUM(Table2[[#This Row],[w1]:[w3]])</f>
        <v>1</v>
      </c>
      <c r="H18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5.2788217982115375</v>
      </c>
      <c r="I184" s="19">
        <f>Table2[[#This Row],[w1]]*$N$7+Table2[[#This Row],[w2]]*$N$10+Table2[[#This Row],[w3]]*$R$7</f>
        <v>0.71731552916666652</v>
      </c>
      <c r="J184" s="19"/>
      <c r="K184" s="46">
        <f>$N$3+ ('Step1 '!$C$1-$N$3)*H184/'Step1 '!$C$2</f>
        <v>0.82139707358279024</v>
      </c>
    </row>
    <row r="185" spans="1:11" x14ac:dyDescent="0.25">
      <c r="A185">
        <v>55</v>
      </c>
      <c r="B185">
        <v>40</v>
      </c>
      <c r="C185">
        <v>5</v>
      </c>
      <c r="D185">
        <f>Table2[[#This Row],[V1]]/100</f>
        <v>0.55000000000000004</v>
      </c>
      <c r="E185">
        <f>Table2[[#This Row],[V2]]/100</f>
        <v>0.4</v>
      </c>
      <c r="F185">
        <f>Table2[[#This Row],[V3]]/100</f>
        <v>0.05</v>
      </c>
      <c r="G185">
        <f>SUM(Table2[[#This Row],[w1]:[w3]])</f>
        <v>1</v>
      </c>
      <c r="H18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5.3836095508546018</v>
      </c>
      <c r="I185" s="19">
        <f>Table2[[#This Row],[w1]]*$N$7+Table2[[#This Row],[w2]]*$N$10+Table2[[#This Row],[w3]]*$R$7</f>
        <v>0.70464364374999988</v>
      </c>
      <c r="J185" s="19"/>
      <c r="K185" s="46">
        <f>$N$3+ ('Step1 '!$C$1-$N$3)*H185/'Step1 '!$C$2</f>
        <v>0.82876952640780077</v>
      </c>
    </row>
    <row r="186" spans="1:11" x14ac:dyDescent="0.25">
      <c r="A186">
        <v>55</v>
      </c>
      <c r="B186">
        <v>45</v>
      </c>
      <c r="C186">
        <v>0</v>
      </c>
      <c r="D186">
        <f>Table2[[#This Row],[V1]]/100</f>
        <v>0.55000000000000004</v>
      </c>
      <c r="E186">
        <f>Table2[[#This Row],[V2]]/100</f>
        <v>0.45</v>
      </c>
      <c r="F186">
        <f>Table2[[#This Row],[V3]]/100</f>
        <v>0</v>
      </c>
      <c r="G186">
        <f>SUM(Table2[[#This Row],[w1]:[w3]])</f>
        <v>1</v>
      </c>
      <c r="H18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5.5671056566713544</v>
      </c>
      <c r="I186" s="19">
        <f>Table2[[#This Row],[w1]]*$N$7+Table2[[#This Row],[w2]]*$N$10+Table2[[#This Row],[w3]]*$R$7</f>
        <v>0.69197175833333324</v>
      </c>
      <c r="J186" s="19"/>
      <c r="K186" s="46">
        <f>$N$3+ ('Step1 '!$C$1-$N$3)*H186/'Step1 '!$C$2</f>
        <v>0.84167958841013413</v>
      </c>
    </row>
    <row r="187" spans="1:11" x14ac:dyDescent="0.25">
      <c r="A187">
        <v>60</v>
      </c>
      <c r="B187">
        <v>0</v>
      </c>
      <c r="C187">
        <v>40</v>
      </c>
      <c r="D187">
        <f>Table2[[#This Row],[V1]]/100</f>
        <v>0.6</v>
      </c>
      <c r="E187">
        <f>Table2[[#This Row],[V2]]/100</f>
        <v>0</v>
      </c>
      <c r="F187">
        <f>Table2[[#This Row],[V3]]/100</f>
        <v>0.4</v>
      </c>
      <c r="G187">
        <f>SUM(Table2[[#This Row],[w1]:[w3]])</f>
        <v>1</v>
      </c>
      <c r="H18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6.335912937186353</v>
      </c>
      <c r="I187" s="19">
        <f>Table2[[#This Row],[w1]]*$N$7+Table2[[#This Row],[w2]]*$N$10+Table2[[#This Row],[w3]]*$R$7</f>
        <v>0.78122251666666664</v>
      </c>
      <c r="J187" s="19"/>
      <c r="K187" s="46">
        <f>$N$3+ ('Step1 '!$C$1-$N$3)*H187/'Step1 '!$C$2</f>
        <v>0.89576983525823795</v>
      </c>
    </row>
    <row r="188" spans="1:11" x14ac:dyDescent="0.25">
      <c r="A188">
        <v>60</v>
      </c>
      <c r="B188">
        <v>5</v>
      </c>
      <c r="C188">
        <v>35</v>
      </c>
      <c r="D188">
        <f>Table2[[#This Row],[V1]]/100</f>
        <v>0.6</v>
      </c>
      <c r="E188">
        <f>Table2[[#This Row],[V2]]/100</f>
        <v>0.05</v>
      </c>
      <c r="F188">
        <f>Table2[[#This Row],[V3]]/100</f>
        <v>0.35</v>
      </c>
      <c r="G188">
        <f>SUM(Table2[[#This Row],[w1]:[w3]])</f>
        <v>1</v>
      </c>
      <c r="H18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5.9775794096423978</v>
      </c>
      <c r="I188" s="19">
        <f>Table2[[#This Row],[w1]]*$N$7+Table2[[#This Row],[w2]]*$N$10+Table2[[#This Row],[w3]]*$R$7</f>
        <v>0.76855063124999989</v>
      </c>
      <c r="J188" s="19"/>
      <c r="K188" s="46">
        <f>$N$3+ ('Step1 '!$C$1-$N$3)*H188/'Step1 '!$C$2</f>
        <v>0.87055890210237508</v>
      </c>
    </row>
    <row r="189" spans="1:11" x14ac:dyDescent="0.25">
      <c r="A189">
        <v>60</v>
      </c>
      <c r="B189">
        <v>10</v>
      </c>
      <c r="C189">
        <v>30</v>
      </c>
      <c r="D189">
        <f>Table2[[#This Row],[V1]]/100</f>
        <v>0.6</v>
      </c>
      <c r="E189">
        <f>Table2[[#This Row],[V2]]/100</f>
        <v>0.1</v>
      </c>
      <c r="F189">
        <f>Table2[[#This Row],[V3]]/100</f>
        <v>0.3</v>
      </c>
      <c r="G189">
        <f>SUM(Table2[[#This Row],[w1]:[w3]])</f>
        <v>1</v>
      </c>
      <c r="H18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5.6754946768775891</v>
      </c>
      <c r="I189" s="19">
        <f>Table2[[#This Row],[w1]]*$N$7+Table2[[#This Row],[w2]]*$N$10+Table2[[#This Row],[w3]]*$R$7</f>
        <v>0.75587874583333337</v>
      </c>
      <c r="J189" s="19"/>
      <c r="K189" s="46">
        <f>$N$3+ ('Step1 '!$C$1-$N$3)*H189/'Step1 '!$C$2</f>
        <v>0.84930541221171429</v>
      </c>
    </row>
    <row r="190" spans="1:11" x14ac:dyDescent="0.25">
      <c r="A190">
        <v>60</v>
      </c>
      <c r="B190">
        <v>15</v>
      </c>
      <c r="C190">
        <v>25</v>
      </c>
      <c r="D190">
        <f>Table2[[#This Row],[V1]]/100</f>
        <v>0.6</v>
      </c>
      <c r="E190">
        <f>Table2[[#This Row],[V2]]/100</f>
        <v>0.15</v>
      </c>
      <c r="F190">
        <f>Table2[[#This Row],[V3]]/100</f>
        <v>0.25</v>
      </c>
      <c r="G190">
        <f>SUM(Table2[[#This Row],[w1]:[w3]])</f>
        <v>1</v>
      </c>
      <c r="H19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5.4390390174791605</v>
      </c>
      <c r="I190" s="19">
        <f>Table2[[#This Row],[w1]]*$N$7+Table2[[#This Row],[w2]]*$N$10+Table2[[#This Row],[w3]]*$R$7</f>
        <v>0.74320686041666661</v>
      </c>
      <c r="J190" s="19"/>
      <c r="K190" s="46">
        <f>$N$3+ ('Step1 '!$C$1-$N$3)*H190/'Step1 '!$C$2</f>
        <v>0.83266932497679025</v>
      </c>
    </row>
    <row r="191" spans="1:11" x14ac:dyDescent="0.25">
      <c r="A191">
        <v>60</v>
      </c>
      <c r="B191">
        <v>20</v>
      </c>
      <c r="C191">
        <v>20</v>
      </c>
      <c r="D191">
        <f>Table2[[#This Row],[V1]]/100</f>
        <v>0.6</v>
      </c>
      <c r="E191">
        <f>Table2[[#This Row],[V2]]/100</f>
        <v>0.2</v>
      </c>
      <c r="F191">
        <f>Table2[[#This Row],[V3]]/100</f>
        <v>0.2</v>
      </c>
      <c r="G191">
        <f>SUM(Table2[[#This Row],[w1]:[w3]])</f>
        <v>1</v>
      </c>
      <c r="H19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5.2770420140231247</v>
      </c>
      <c r="I191" s="19">
        <f>Table2[[#This Row],[w1]]*$N$7+Table2[[#This Row],[w2]]*$N$10+Table2[[#This Row],[w3]]*$R$7</f>
        <v>0.73053497499999998</v>
      </c>
      <c r="J191" s="19"/>
      <c r="K191" s="46">
        <f>$N$3+ ('Step1 '!$C$1-$N$3)*H191/'Step1 '!$C$2</f>
        <v>0.82127185498961686</v>
      </c>
    </row>
    <row r="192" spans="1:11" x14ac:dyDescent="0.25">
      <c r="A192">
        <v>60</v>
      </c>
      <c r="B192">
        <v>25</v>
      </c>
      <c r="C192">
        <v>15</v>
      </c>
      <c r="D192">
        <f>Table2[[#This Row],[V1]]/100</f>
        <v>0.6</v>
      </c>
      <c r="E192">
        <f>Table2[[#This Row],[V2]]/100</f>
        <v>0.25</v>
      </c>
      <c r="F192">
        <f>Table2[[#This Row],[V3]]/100</f>
        <v>0.15</v>
      </c>
      <c r="G192">
        <f>SUM(Table2[[#This Row],[w1]:[w3]])</f>
        <v>1</v>
      </c>
      <c r="H19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5.1964719550459941</v>
      </c>
      <c r="I192" s="19">
        <f>Table2[[#This Row],[w1]]*$N$7+Table2[[#This Row],[w2]]*$N$10+Table2[[#This Row],[w3]]*$R$7</f>
        <v>0.71786308958333334</v>
      </c>
      <c r="J192" s="19"/>
      <c r="K192" s="46">
        <f>$N$3+ ('Step1 '!$C$1-$N$3)*H192/'Step1 '!$C$2</f>
        <v>0.81560326353751722</v>
      </c>
    </row>
    <row r="193" spans="1:11" x14ac:dyDescent="0.25">
      <c r="A193">
        <v>60</v>
      </c>
      <c r="B193">
        <v>30</v>
      </c>
      <c r="C193">
        <v>10</v>
      </c>
      <c r="D193">
        <f>Table2[[#This Row],[V1]]/100</f>
        <v>0.6</v>
      </c>
      <c r="E193">
        <f>Table2[[#This Row],[V2]]/100</f>
        <v>0.3</v>
      </c>
      <c r="F193">
        <f>Table2[[#This Row],[V3]]/100</f>
        <v>0.1</v>
      </c>
      <c r="G193">
        <f>SUM(Table2[[#This Row],[w1]:[w3]])</f>
        <v>0.99999999999999989</v>
      </c>
      <c r="H19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5.2011143535884274</v>
      </c>
      <c r="I193" s="19">
        <f>Table2[[#This Row],[w1]]*$N$7+Table2[[#This Row],[w2]]*$N$10+Table2[[#This Row],[w3]]*$R$7</f>
        <v>0.70519120416666659</v>
      </c>
      <c r="J193" s="19"/>
      <c r="K193" s="46">
        <f>$N$3+ ('Step1 '!$C$1-$N$3)*H193/'Step1 '!$C$2</f>
        <v>0.8159298843818974</v>
      </c>
    </row>
    <row r="194" spans="1:11" x14ac:dyDescent="0.25">
      <c r="A194">
        <v>60</v>
      </c>
      <c r="B194">
        <v>35</v>
      </c>
      <c r="C194">
        <v>5</v>
      </c>
      <c r="D194">
        <f>Table2[[#This Row],[V1]]/100</f>
        <v>0.6</v>
      </c>
      <c r="E194">
        <f>Table2[[#This Row],[V2]]/100</f>
        <v>0.35</v>
      </c>
      <c r="F194">
        <f>Table2[[#This Row],[V3]]/100</f>
        <v>0.05</v>
      </c>
      <c r="G194">
        <f>SUM(Table2[[#This Row],[w1]:[w3]])</f>
        <v>1</v>
      </c>
      <c r="H19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5.2907449037292782</v>
      </c>
      <c r="I194" s="19">
        <f>Table2[[#This Row],[w1]]*$N$7+Table2[[#This Row],[w2]]*$N$10+Table2[[#This Row],[w3]]*$R$7</f>
        <v>0.69251931874999983</v>
      </c>
      <c r="J194" s="19"/>
      <c r="K194" s="46">
        <f>$N$3+ ('Step1 '!$C$1-$N$3)*H194/'Step1 '!$C$2</f>
        <v>0.82223593624316804</v>
      </c>
    </row>
    <row r="195" spans="1:11" x14ac:dyDescent="0.25">
      <c r="A195">
        <v>60</v>
      </c>
      <c r="B195">
        <v>40</v>
      </c>
      <c r="C195">
        <v>0</v>
      </c>
      <c r="D195">
        <f>Table2[[#This Row],[V1]]/100</f>
        <v>0.6</v>
      </c>
      <c r="E195">
        <f>Table2[[#This Row],[V2]]/100</f>
        <v>0.4</v>
      </c>
      <c r="F195">
        <f>Table2[[#This Row],[V3]]/100</f>
        <v>0</v>
      </c>
      <c r="G195">
        <f>SUM(Table2[[#This Row],[w1]:[w3]])</f>
        <v>1</v>
      </c>
      <c r="H19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5.4611806536023719</v>
      </c>
      <c r="I195" s="19">
        <f>Table2[[#This Row],[w1]]*$N$7+Table2[[#This Row],[w2]]*$N$10+Table2[[#This Row],[w3]]*$R$7</f>
        <v>0.67984743333333331</v>
      </c>
      <c r="J195" s="19"/>
      <c r="K195" s="46">
        <f>$N$3+ ('Step1 '!$C$1-$N$3)*H195/'Step1 '!$C$2</f>
        <v>0.83422712313229563</v>
      </c>
    </row>
    <row r="196" spans="1:11" x14ac:dyDescent="0.25">
      <c r="A196">
        <v>65</v>
      </c>
      <c r="B196">
        <v>0</v>
      </c>
      <c r="C196">
        <v>35</v>
      </c>
      <c r="D196">
        <f>Table2[[#This Row],[V1]]/100</f>
        <v>0.65</v>
      </c>
      <c r="E196">
        <f>Table2[[#This Row],[V2]]/100</f>
        <v>0</v>
      </c>
      <c r="F196">
        <f>Table2[[#This Row],[V3]]/100</f>
        <v>0.35</v>
      </c>
      <c r="G196">
        <f>SUM(Table2[[#This Row],[w1]:[w3]])</f>
        <v>1</v>
      </c>
      <c r="H19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6.013550340374783</v>
      </c>
      <c r="I196" s="19">
        <f>Table2[[#This Row],[w1]]*$N$7+Table2[[#This Row],[w2]]*$N$10+Table2[[#This Row],[w3]]*$R$7</f>
        <v>0.75642630625000007</v>
      </c>
      <c r="J196" s="19"/>
      <c r="K196" s="46">
        <f>$N$3+ ('Step1 '!$C$1-$N$3)*H196/'Step1 '!$C$2</f>
        <v>0.87308967486166456</v>
      </c>
    </row>
    <row r="197" spans="1:11" x14ac:dyDescent="0.25">
      <c r="A197">
        <v>65</v>
      </c>
      <c r="B197">
        <v>5</v>
      </c>
      <c r="C197">
        <v>30</v>
      </c>
      <c r="D197">
        <f>Table2[[#This Row],[V1]]/100</f>
        <v>0.65</v>
      </c>
      <c r="E197">
        <f>Table2[[#This Row],[V2]]/100</f>
        <v>0.05</v>
      </c>
      <c r="F197">
        <f>Table2[[#This Row],[V3]]/100</f>
        <v>0.3</v>
      </c>
      <c r="G197">
        <f>SUM(Table2[[#This Row],[w1]:[w3]])</f>
        <v>1</v>
      </c>
      <c r="H19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5.6978654620270683</v>
      </c>
      <c r="I197" s="19">
        <f>Table2[[#This Row],[w1]]*$N$7+Table2[[#This Row],[w2]]*$N$10+Table2[[#This Row],[w3]]*$R$7</f>
        <v>0.74375442083333332</v>
      </c>
      <c r="J197" s="19"/>
      <c r="K197" s="46">
        <f>$N$3+ ('Step1 '!$C$1-$N$3)*H197/'Step1 '!$C$2</f>
        <v>0.8508793323885766</v>
      </c>
    </row>
    <row r="198" spans="1:11" x14ac:dyDescent="0.25">
      <c r="A198">
        <v>65</v>
      </c>
      <c r="B198">
        <v>10</v>
      </c>
      <c r="C198">
        <v>25</v>
      </c>
      <c r="D198">
        <f>Table2[[#This Row],[V1]]/100</f>
        <v>0.65</v>
      </c>
      <c r="E198">
        <f>Table2[[#This Row],[V2]]/100</f>
        <v>0.1</v>
      </c>
      <c r="F198">
        <f>Table2[[#This Row],[V3]]/100</f>
        <v>0.25</v>
      </c>
      <c r="G198">
        <f>SUM(Table2[[#This Row],[w1]:[w3]])</f>
        <v>1</v>
      </c>
      <c r="H19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5.4461615224128224</v>
      </c>
      <c r="I198" s="19">
        <f>Table2[[#This Row],[w1]]*$N$7+Table2[[#This Row],[w2]]*$N$10+Table2[[#This Row],[w3]]*$R$7</f>
        <v>0.73108253541666668</v>
      </c>
      <c r="J198" s="19"/>
      <c r="K198" s="46">
        <f>$N$3+ ('Step1 '!$C$1-$N$3)*H198/'Step1 '!$C$2</f>
        <v>0.83317043632134014</v>
      </c>
    </row>
    <row r="199" spans="1:11" x14ac:dyDescent="0.25">
      <c r="A199">
        <v>65</v>
      </c>
      <c r="B199">
        <v>15</v>
      </c>
      <c r="C199">
        <v>20</v>
      </c>
      <c r="D199">
        <f>Table2[[#This Row],[V1]]/100</f>
        <v>0.65</v>
      </c>
      <c r="E199">
        <f>Table2[[#This Row],[V2]]/100</f>
        <v>0.15</v>
      </c>
      <c r="F199">
        <f>Table2[[#This Row],[V3]]/100</f>
        <v>0.2</v>
      </c>
      <c r="G199">
        <f>SUM(Table2[[#This Row],[w1]:[w3]])</f>
        <v>1</v>
      </c>
      <c r="H19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5.2676181724541022</v>
      </c>
      <c r="I199" s="19">
        <f>Table2[[#This Row],[w1]]*$N$7+Table2[[#This Row],[w2]]*$N$10+Table2[[#This Row],[w3]]*$R$7</f>
        <v>0.71841064999999993</v>
      </c>
      <c r="J199" s="19"/>
      <c r="K199" s="46">
        <f>$N$3+ ('Step1 '!$C$1-$N$3)*H199/'Step1 '!$C$2</f>
        <v>0.82060883067956558</v>
      </c>
    </row>
    <row r="200" spans="1:11" x14ac:dyDescent="0.25">
      <c r="A200">
        <v>65</v>
      </c>
      <c r="B200">
        <v>20</v>
      </c>
      <c r="C200">
        <v>15</v>
      </c>
      <c r="D200">
        <f>Table2[[#This Row],[V1]]/100</f>
        <v>0.65</v>
      </c>
      <c r="E200">
        <f>Table2[[#This Row],[V2]]/100</f>
        <v>0.2</v>
      </c>
      <c r="F200">
        <f>Table2[[#This Row],[V3]]/100</f>
        <v>0.15</v>
      </c>
      <c r="G200">
        <f>SUM(Table2[[#This Row],[w1]:[w3]])</f>
        <v>1</v>
      </c>
      <c r="H20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5.1698209322023105</v>
      </c>
      <c r="I200" s="19">
        <f>Table2[[#This Row],[w1]]*$N$7+Table2[[#This Row],[w2]]*$N$10+Table2[[#This Row],[w3]]*$R$7</f>
        <v>0.70573876458333329</v>
      </c>
      <c r="J200" s="19"/>
      <c r="K200" s="46">
        <f>$N$3+ ('Step1 '!$C$1-$N$3)*H200/'Step1 '!$C$2</f>
        <v>0.81372820272461277</v>
      </c>
    </row>
    <row r="201" spans="1:11" x14ac:dyDescent="0.25">
      <c r="A201">
        <v>65</v>
      </c>
      <c r="B201">
        <v>25</v>
      </c>
      <c r="C201">
        <v>10</v>
      </c>
      <c r="D201">
        <f>Table2[[#This Row],[V1]]/100</f>
        <v>0.65</v>
      </c>
      <c r="E201">
        <f>Table2[[#This Row],[V2]]/100</f>
        <v>0.25</v>
      </c>
      <c r="F201">
        <f>Table2[[#This Row],[V3]]/100</f>
        <v>0.1</v>
      </c>
      <c r="G201">
        <f>SUM(Table2[[#This Row],[w1]:[w3]])</f>
        <v>1</v>
      </c>
      <c r="H20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5.1573653263091011</v>
      </c>
      <c r="I201" s="19">
        <f>Table2[[#This Row],[w1]]*$N$7+Table2[[#This Row],[w2]]*$N$10+Table2[[#This Row],[w3]]*$R$7</f>
        <v>0.69306687916666665</v>
      </c>
      <c r="J201" s="19"/>
      <c r="K201" s="46">
        <f>$N$3+ ('Step1 '!$C$1-$N$3)*H201/'Step1 '!$C$2</f>
        <v>0.81285187543885251</v>
      </c>
    </row>
    <row r="202" spans="1:11" x14ac:dyDescent="0.25">
      <c r="A202">
        <v>65</v>
      </c>
      <c r="B202">
        <v>30</v>
      </c>
      <c r="C202">
        <v>5</v>
      </c>
      <c r="D202">
        <f>Table2[[#This Row],[V1]]/100</f>
        <v>0.65</v>
      </c>
      <c r="E202">
        <f>Table2[[#This Row],[V2]]/100</f>
        <v>0.3</v>
      </c>
      <c r="F202">
        <f>Table2[[#This Row],[V3]]/100</f>
        <v>0.05</v>
      </c>
      <c r="G202">
        <f>SUM(Table2[[#This Row],[w1]:[w3]])</f>
        <v>1</v>
      </c>
      <c r="H20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5.2308610309110035</v>
      </c>
      <c r="I202" s="19">
        <f>Table2[[#This Row],[w1]]*$N$7+Table2[[#This Row],[w2]]*$N$10+Table2[[#This Row],[w3]]*$R$7</f>
        <v>0.68039499375000001</v>
      </c>
      <c r="J202" s="19"/>
      <c r="K202" s="46">
        <f>$N$3+ ('Step1 '!$C$1-$N$3)*H202/'Step1 '!$C$2</f>
        <v>0.81802274322971069</v>
      </c>
    </row>
    <row r="203" spans="1:11" x14ac:dyDescent="0.25">
      <c r="A203">
        <v>65</v>
      </c>
      <c r="B203">
        <v>35</v>
      </c>
      <c r="C203">
        <v>0</v>
      </c>
      <c r="D203">
        <f>Table2[[#This Row],[V1]]/100</f>
        <v>0.65</v>
      </c>
      <c r="E203">
        <f>Table2[[#This Row],[V2]]/100</f>
        <v>0.35</v>
      </c>
      <c r="F203">
        <f>Table2[[#This Row],[V3]]/100</f>
        <v>0</v>
      </c>
      <c r="G203">
        <f>SUM(Table2[[#This Row],[w1]:[w3]])</f>
        <v>1</v>
      </c>
      <c r="H20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5.3867911151353365</v>
      </c>
      <c r="I203" s="19">
        <f>Table2[[#This Row],[w1]]*$N$7+Table2[[#This Row],[w2]]*$N$10+Table2[[#This Row],[w3]]*$R$7</f>
        <v>0.66772310833333326</v>
      </c>
      <c r="J203" s="19"/>
      <c r="K203" s="46">
        <f>$N$3+ ('Step1 '!$C$1-$N$3)*H203/'Step1 '!$C$2</f>
        <v>0.82899336871740115</v>
      </c>
    </row>
    <row r="204" spans="1:11" x14ac:dyDescent="0.25">
      <c r="A204">
        <v>70</v>
      </c>
      <c r="B204">
        <v>0</v>
      </c>
      <c r="C204">
        <v>30</v>
      </c>
      <c r="D204">
        <f>Table2[[#This Row],[V1]]/100</f>
        <v>0.7</v>
      </c>
      <c r="E204">
        <f>Table2[[#This Row],[V2]]/100</f>
        <v>0</v>
      </c>
      <c r="F204">
        <f>Table2[[#This Row],[V3]]/100</f>
        <v>0.3</v>
      </c>
      <c r="G204">
        <f>SUM(Table2[[#This Row],[w1]:[w3]])</f>
        <v>1</v>
      </c>
      <c r="H20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5.7516343301306598</v>
      </c>
      <c r="I204" s="19">
        <f>Table2[[#This Row],[w1]]*$N$7+Table2[[#This Row],[w2]]*$N$10+Table2[[#This Row],[w3]]*$R$7</f>
        <v>0.73163009583333327</v>
      </c>
      <c r="J204" s="19"/>
      <c r="K204" s="46">
        <f>$N$3+ ('Step1 '!$C$1-$N$3)*H204/'Step1 '!$C$2</f>
        <v>0.85466229779769476</v>
      </c>
    </row>
    <row r="205" spans="1:11" x14ac:dyDescent="0.25">
      <c r="A205">
        <v>70</v>
      </c>
      <c r="B205">
        <v>5</v>
      </c>
      <c r="C205">
        <v>25</v>
      </c>
      <c r="D205">
        <f>Table2[[#This Row],[V1]]/100</f>
        <v>0.7</v>
      </c>
      <c r="E205">
        <f>Table2[[#This Row],[V2]]/100</f>
        <v>0.05</v>
      </c>
      <c r="F205">
        <f>Table2[[#This Row],[V3]]/100</f>
        <v>0.25</v>
      </c>
      <c r="G205">
        <f>SUM(Table2[[#This Row],[w1]:[w3]])</f>
        <v>1</v>
      </c>
      <c r="H20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5.4862920876344852</v>
      </c>
      <c r="I205" s="19">
        <f>Table2[[#This Row],[w1]]*$N$7+Table2[[#This Row],[w2]]*$N$10+Table2[[#This Row],[w3]]*$R$7</f>
        <v>0.71895821041666663</v>
      </c>
      <c r="J205" s="19"/>
      <c r="K205" s="46">
        <f>$N$3+ ('Step1 '!$C$1-$N$3)*H205/'Step1 '!$C$2</f>
        <v>0.83599386455102553</v>
      </c>
    </row>
    <row r="206" spans="1:11" x14ac:dyDescent="0.25">
      <c r="A206">
        <v>70</v>
      </c>
      <c r="B206">
        <v>10</v>
      </c>
      <c r="C206">
        <v>20</v>
      </c>
      <c r="D206">
        <f>Table2[[#This Row],[V1]]/100</f>
        <v>0.7</v>
      </c>
      <c r="E206">
        <f>Table2[[#This Row],[V2]]/100</f>
        <v>0.1</v>
      </c>
      <c r="F206">
        <f>Table2[[#This Row],[V3]]/100</f>
        <v>0.2</v>
      </c>
      <c r="G206">
        <f>SUM(Table2[[#This Row],[w1]:[w3]])</f>
        <v>1</v>
      </c>
      <c r="H20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5.2924120825814081</v>
      </c>
      <c r="I206" s="19">
        <f>Table2[[#This Row],[w1]]*$N$7+Table2[[#This Row],[w2]]*$N$10+Table2[[#This Row],[w3]]*$R$7</f>
        <v>0.70628632499999999</v>
      </c>
      <c r="J206" s="19"/>
      <c r="K206" s="46">
        <f>$N$3+ ('Step1 '!$C$1-$N$3)*H206/'Step1 '!$C$2</f>
        <v>0.82235323236917668</v>
      </c>
    </row>
    <row r="207" spans="1:11" x14ac:dyDescent="0.25">
      <c r="A207">
        <v>70</v>
      </c>
      <c r="B207">
        <v>15</v>
      </c>
      <c r="C207">
        <v>15</v>
      </c>
      <c r="D207">
        <f>Table2[[#This Row],[V1]]/100</f>
        <v>0.7</v>
      </c>
      <c r="E207">
        <f>Table2[[#This Row],[V2]]/100</f>
        <v>0.15</v>
      </c>
      <c r="F207">
        <f>Table2[[#This Row],[V3]]/100</f>
        <v>0.15</v>
      </c>
      <c r="G207">
        <f>SUM(Table2[[#This Row],[w1]:[w3]])</f>
        <v>1</v>
      </c>
      <c r="H20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5.1780277915994555</v>
      </c>
      <c r="I207" s="19">
        <f>Table2[[#This Row],[w1]]*$N$7+Table2[[#This Row],[w2]]*$N$10+Table2[[#This Row],[w3]]*$R$7</f>
        <v>0.69361443958333324</v>
      </c>
      <c r="J207" s="19"/>
      <c r="K207" s="46">
        <f>$N$3+ ('Step1 '!$C$1-$N$3)*H207/'Step1 '!$C$2</f>
        <v>0.81430560497078019</v>
      </c>
    </row>
    <row r="208" spans="1:11" x14ac:dyDescent="0.25">
      <c r="A208">
        <v>70</v>
      </c>
      <c r="B208">
        <v>20</v>
      </c>
      <c r="C208">
        <v>10</v>
      </c>
      <c r="D208">
        <f>Table2[[#This Row],[V1]]/100</f>
        <v>0.7</v>
      </c>
      <c r="E208">
        <f>Table2[[#This Row],[V2]]/100</f>
        <v>0.2</v>
      </c>
      <c r="F208">
        <f>Table2[[#This Row],[V3]]/100</f>
        <v>0.1</v>
      </c>
      <c r="G208">
        <f>SUM(Table2[[#This Row],[w1]:[w3]])</f>
        <v>0.99999999999999989</v>
      </c>
      <c r="H20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5.1484404771744936</v>
      </c>
      <c r="I208" s="19">
        <f>Table2[[#This Row],[w1]]*$N$7+Table2[[#This Row],[w2]]*$N$10+Table2[[#This Row],[w3]]*$R$7</f>
        <v>0.6809425541666666</v>
      </c>
      <c r="J208" s="19"/>
      <c r="K208" s="46">
        <f>$N$3+ ('Step1 '!$C$1-$N$3)*H208/'Step1 '!$C$2</f>
        <v>0.81222395826766025</v>
      </c>
    </row>
    <row r="209" spans="1:11" x14ac:dyDescent="0.25">
      <c r="A209">
        <v>70</v>
      </c>
      <c r="B209">
        <v>25</v>
      </c>
      <c r="C209">
        <v>5</v>
      </c>
      <c r="D209">
        <f>Table2[[#This Row],[V1]]/100</f>
        <v>0.7</v>
      </c>
      <c r="E209">
        <f>Table2[[#This Row],[V2]]/100</f>
        <v>0.25</v>
      </c>
      <c r="F209">
        <f>Table2[[#This Row],[V3]]/100</f>
        <v>0.05</v>
      </c>
      <c r="G209">
        <f>SUM(Table2[[#This Row],[w1]:[w3]])</f>
        <v>1</v>
      </c>
      <c r="H20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5.20509637385811</v>
      </c>
      <c r="I209" s="19">
        <f>Table2[[#This Row],[w1]]*$N$7+Table2[[#This Row],[w2]]*$N$10+Table2[[#This Row],[w3]]*$R$7</f>
        <v>0.66827066874999996</v>
      </c>
      <c r="J209" s="19"/>
      <c r="K209" s="46">
        <f>$N$3+ ('Step1 '!$C$1-$N$3)*H209/'Step1 '!$C$2</f>
        <v>0.81621004361659799</v>
      </c>
    </row>
    <row r="210" spans="1:11" x14ac:dyDescent="0.25">
      <c r="A210">
        <v>70</v>
      </c>
      <c r="B210">
        <v>30</v>
      </c>
      <c r="C210">
        <v>0</v>
      </c>
      <c r="D210">
        <f>Table2[[#This Row],[V1]]/100</f>
        <v>0.7</v>
      </c>
      <c r="E210">
        <f>Table2[[#This Row],[V2]]/100</f>
        <v>0.3</v>
      </c>
      <c r="F210">
        <f>Table2[[#This Row],[V3]]/100</f>
        <v>0</v>
      </c>
      <c r="G210">
        <f>SUM(Table2[[#This Row],[w1]:[w3]])</f>
        <v>1</v>
      </c>
      <c r="H21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5.3452538342910065</v>
      </c>
      <c r="I210" s="19">
        <f>Table2[[#This Row],[w1]]*$N$7+Table2[[#This Row],[w2]]*$N$10+Table2[[#This Row],[w3]]*$R$7</f>
        <v>0.65559878333333321</v>
      </c>
      <c r="J210" s="19"/>
      <c r="K210" s="46">
        <f>$N$3+ ('Step1 '!$C$1-$N$3)*H210/'Step1 '!$C$2</f>
        <v>0.82607096952684733</v>
      </c>
    </row>
    <row r="211" spans="1:11" x14ac:dyDescent="0.25">
      <c r="A211">
        <v>75</v>
      </c>
      <c r="B211">
        <v>0</v>
      </c>
      <c r="C211">
        <v>25</v>
      </c>
      <c r="D211">
        <f>Table2[[#This Row],[V1]]/100</f>
        <v>0.75</v>
      </c>
      <c r="E211">
        <f>Table2[[#This Row],[V2]]/100</f>
        <v>0</v>
      </c>
      <c r="F211">
        <f>Table2[[#This Row],[V3]]/100</f>
        <v>0.25</v>
      </c>
      <c r="G211">
        <f>SUM(Table2[[#This Row],[w1]:[w3]])</f>
        <v>1</v>
      </c>
      <c r="H21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5.5587158644378567</v>
      </c>
      <c r="I211" s="19">
        <f>Table2[[#This Row],[w1]]*$N$7+Table2[[#This Row],[w2]]*$N$10+Table2[[#This Row],[w3]]*$R$7</f>
        <v>0.7068338854166667</v>
      </c>
      <c r="J211" s="19"/>
      <c r="K211" s="46">
        <f>$N$3+ ('Step1 '!$C$1-$N$3)*H211/'Step1 '!$C$2</f>
        <v>0.84108931573138135</v>
      </c>
    </row>
    <row r="212" spans="1:11" x14ac:dyDescent="0.25">
      <c r="A212">
        <v>75</v>
      </c>
      <c r="B212">
        <v>5</v>
      </c>
      <c r="C212">
        <v>20</v>
      </c>
      <c r="D212">
        <f>Table2[[#This Row],[V1]]/100</f>
        <v>0.75</v>
      </c>
      <c r="E212">
        <f>Table2[[#This Row],[V2]]/100</f>
        <v>0.05</v>
      </c>
      <c r="F212">
        <f>Table2[[#This Row],[V3]]/100</f>
        <v>0.2</v>
      </c>
      <c r="G212">
        <f>SUM(Table2[[#This Row],[w1]:[w3]])</f>
        <v>1</v>
      </c>
      <c r="H21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5.3509481160837478</v>
      </c>
      <c r="I212" s="19">
        <f>Table2[[#This Row],[w1]]*$N$7+Table2[[#This Row],[w2]]*$N$10+Table2[[#This Row],[w3]]*$R$7</f>
        <v>0.69416200000000006</v>
      </c>
      <c r="J212" s="19"/>
      <c r="K212" s="46">
        <f>$N$3+ ('Step1 '!$C$1-$N$3)*H212/'Step1 '!$C$2</f>
        <v>0.82647159672640469</v>
      </c>
    </row>
    <row r="213" spans="1:11" x14ac:dyDescent="0.25">
      <c r="A213">
        <v>75</v>
      </c>
      <c r="B213">
        <v>10</v>
      </c>
      <c r="C213">
        <v>15</v>
      </c>
      <c r="D213">
        <f>Table2[[#This Row],[V1]]/100</f>
        <v>0.75</v>
      </c>
      <c r="E213">
        <f>Table2[[#This Row],[V2]]/100</f>
        <v>0.1</v>
      </c>
      <c r="F213">
        <f>Table2[[#This Row],[V3]]/100</f>
        <v>0.15</v>
      </c>
      <c r="G213">
        <f>SUM(Table2[[#This Row],[w1]:[w3]])</f>
        <v>1</v>
      </c>
      <c r="H21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5.2209281548587745</v>
      </c>
      <c r="I213" s="19">
        <f>Table2[[#This Row],[w1]]*$N$7+Table2[[#This Row],[w2]]*$N$10+Table2[[#This Row],[w3]]*$R$7</f>
        <v>0.68149011458333342</v>
      </c>
      <c r="J213" s="19"/>
      <c r="K213" s="46">
        <f>$N$3+ ('Step1 '!$C$1-$N$3)*H213/'Step1 '!$C$2</f>
        <v>0.81732390526186938</v>
      </c>
    </row>
    <row r="214" spans="1:11" x14ac:dyDescent="0.25">
      <c r="A214">
        <v>75</v>
      </c>
      <c r="B214">
        <v>15</v>
      </c>
      <c r="C214">
        <v>10</v>
      </c>
      <c r="D214">
        <f>Table2[[#This Row],[V1]]/100</f>
        <v>0.75</v>
      </c>
      <c r="E214">
        <f>Table2[[#This Row],[V2]]/100</f>
        <v>0.15</v>
      </c>
      <c r="F214">
        <f>Table2[[#This Row],[V3]]/100</f>
        <v>0.1</v>
      </c>
      <c r="G214">
        <f>SUM(Table2[[#This Row],[w1]:[w3]])</f>
        <v>1</v>
      </c>
      <c r="H21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5.174520000259311</v>
      </c>
      <c r="I214" s="19">
        <f>Table2[[#This Row],[w1]]*$N$7+Table2[[#This Row],[w2]]*$N$10+Table2[[#This Row],[w3]]*$R$7</f>
        <v>0.66881822916666667</v>
      </c>
      <c r="J214" s="19"/>
      <c r="K214" s="46">
        <f>$N$3+ ('Step1 '!$C$1-$N$3)*H214/'Step1 '!$C$2</f>
        <v>0.81405881061244245</v>
      </c>
    </row>
    <row r="215" spans="1:11" x14ac:dyDescent="0.25">
      <c r="A215">
        <v>75</v>
      </c>
      <c r="B215">
        <v>20</v>
      </c>
      <c r="C215">
        <v>5</v>
      </c>
      <c r="D215">
        <f>Table2[[#This Row],[V1]]/100</f>
        <v>0.75</v>
      </c>
      <c r="E215">
        <f>Table2[[#This Row],[V2]]/100</f>
        <v>0.2</v>
      </c>
      <c r="F215">
        <f>Table2[[#This Row],[V3]]/100</f>
        <v>0.05</v>
      </c>
      <c r="G215">
        <f>SUM(Table2[[#This Row],[w1]:[w3]])</f>
        <v>1</v>
      </c>
      <c r="H21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5.2139567552560244</v>
      </c>
      <c r="I215" s="19">
        <f>Table2[[#This Row],[w1]]*$N$7+Table2[[#This Row],[w2]]*$N$10+Table2[[#This Row],[w3]]*$R$7</f>
        <v>0.65614634375000014</v>
      </c>
      <c r="J215" s="19"/>
      <c r="K215" s="46">
        <f>$N$3+ ('Step1 '!$C$1-$N$3)*H215/'Step1 '!$C$2</f>
        <v>0.81683342509220069</v>
      </c>
    </row>
    <row r="216" spans="1:11" x14ac:dyDescent="0.25">
      <c r="A216">
        <v>75</v>
      </c>
      <c r="B216">
        <v>25</v>
      </c>
      <c r="C216">
        <v>0</v>
      </c>
      <c r="D216">
        <f>Table2[[#This Row],[V1]]/100</f>
        <v>0.75</v>
      </c>
      <c r="E216">
        <f>Table2[[#This Row],[V2]]/100</f>
        <v>0.25</v>
      </c>
      <c r="F216">
        <f>Table2[[#This Row],[V3]]/100</f>
        <v>0</v>
      </c>
      <c r="G216">
        <f>SUM(Table2[[#This Row],[w1]:[w3]])</f>
        <v>1</v>
      </c>
      <c r="H21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5.3373358743839576</v>
      </c>
      <c r="I216" s="19">
        <f>Table2[[#This Row],[w1]]*$N$7+Table2[[#This Row],[w2]]*$N$10+Table2[[#This Row],[w3]]*$R$7</f>
        <v>0.64347445833333339</v>
      </c>
      <c r="J216" s="19"/>
      <c r="K216" s="46">
        <f>$N$3+ ('Step1 '!$C$1-$N$3)*H216/'Step1 '!$C$2</f>
        <v>0.82551389310892009</v>
      </c>
    </row>
    <row r="217" spans="1:11" x14ac:dyDescent="0.25">
      <c r="A217">
        <v>80</v>
      </c>
      <c r="B217">
        <v>0</v>
      </c>
      <c r="C217">
        <v>20</v>
      </c>
      <c r="D217">
        <f>Table2[[#This Row],[V1]]/100</f>
        <v>0.8</v>
      </c>
      <c r="E217">
        <f>Table2[[#This Row],[V2]]/100</f>
        <v>0</v>
      </c>
      <c r="F217">
        <f>Table2[[#This Row],[V3]]/100</f>
        <v>0.2</v>
      </c>
      <c r="G217">
        <f>SUM(Table2[[#This Row],[w1]:[w3]])</f>
        <v>1</v>
      </c>
      <c r="H21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5.4421375835482406</v>
      </c>
      <c r="I217" s="19">
        <f>Table2[[#This Row],[w1]]*$N$7+Table2[[#This Row],[w2]]*$N$10+Table2[[#This Row],[w3]]*$R$7</f>
        <v>0.68203767500000012</v>
      </c>
      <c r="J217" s="19"/>
      <c r="K217" s="46">
        <f>$N$3+ ('Step1 '!$C$1-$N$3)*H217/'Step1 '!$C$2</f>
        <v>0.83288732785969666</v>
      </c>
    </row>
    <row r="218" spans="1:11" x14ac:dyDescent="0.25">
      <c r="A218">
        <v>80</v>
      </c>
      <c r="B218">
        <v>5</v>
      </c>
      <c r="C218">
        <v>15</v>
      </c>
      <c r="D218">
        <f>Table2[[#This Row],[V1]]/100</f>
        <v>0.8</v>
      </c>
      <c r="E218">
        <f>Table2[[#This Row],[V2]]/100</f>
        <v>0.05</v>
      </c>
      <c r="F218">
        <f>Table2[[#This Row],[V3]]/100</f>
        <v>0.15</v>
      </c>
      <c r="G218">
        <f>SUM(Table2[[#This Row],[w1]:[w3]])</f>
        <v>1</v>
      </c>
      <c r="H21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5.2976792498130063</v>
      </c>
      <c r="I218" s="19">
        <f>Table2[[#This Row],[w1]]*$N$7+Table2[[#This Row],[w2]]*$N$10+Table2[[#This Row],[w3]]*$R$7</f>
        <v>0.66936578958333337</v>
      </c>
      <c r="J218" s="19"/>
      <c r="K218" s="46">
        <f>$N$3+ ('Step1 '!$C$1-$N$3)*H218/'Step1 '!$C$2</f>
        <v>0.82272380947343682</v>
      </c>
    </row>
    <row r="219" spans="1:11" x14ac:dyDescent="0.25">
      <c r="A219">
        <v>80</v>
      </c>
      <c r="B219">
        <v>10</v>
      </c>
      <c r="C219">
        <v>10</v>
      </c>
      <c r="D219">
        <f>Table2[[#This Row],[V1]]/100</f>
        <v>0.8</v>
      </c>
      <c r="E219">
        <f>Table2[[#This Row],[V2]]/100</f>
        <v>0.1</v>
      </c>
      <c r="F219">
        <f>Table2[[#This Row],[V3]]/100</f>
        <v>0.1</v>
      </c>
      <c r="G219">
        <f>SUM(Table2[[#This Row],[w1]:[w3]])</f>
        <v>1</v>
      </c>
      <c r="H21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5.2350807794378929</v>
      </c>
      <c r="I219" s="19">
        <f>Table2[[#This Row],[w1]]*$N$7+Table2[[#This Row],[w2]]*$N$10+Table2[[#This Row],[w3]]*$R$7</f>
        <v>0.65669390416666673</v>
      </c>
      <c r="J219" s="19"/>
      <c r="K219" s="46">
        <f>$N$3+ ('Step1 '!$C$1-$N$3)*H219/'Step1 '!$C$2</f>
        <v>0.81831962808660674</v>
      </c>
    </row>
    <row r="220" spans="1:11" x14ac:dyDescent="0.25">
      <c r="A220">
        <v>80</v>
      </c>
      <c r="B220">
        <v>15</v>
      </c>
      <c r="C220">
        <v>5</v>
      </c>
      <c r="D220">
        <f>Table2[[#This Row],[V1]]/100</f>
        <v>0.8</v>
      </c>
      <c r="E220">
        <f>Table2[[#This Row],[V2]]/100</f>
        <v>0.15</v>
      </c>
      <c r="F220">
        <f>Table2[[#This Row],[V3]]/100</f>
        <v>0.05</v>
      </c>
      <c r="G220">
        <f>SUM(Table2[[#This Row],[w1]:[w3]])</f>
        <v>1</v>
      </c>
      <c r="H22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5.2572671111795852</v>
      </c>
      <c r="I220" s="19">
        <f>Table2[[#This Row],[w1]]*$N$7+Table2[[#This Row],[w2]]*$N$10+Table2[[#This Row],[w3]]*$R$7</f>
        <v>0.64402201875000009</v>
      </c>
      <c r="J220" s="19"/>
      <c r="K220" s="46">
        <f>$N$3+ ('Step1 '!$C$1-$N$3)*H220/'Step1 '!$C$2</f>
        <v>0.8198805708494773</v>
      </c>
    </row>
    <row r="221" spans="1:11" x14ac:dyDescent="0.25">
      <c r="A221">
        <v>80</v>
      </c>
      <c r="B221">
        <v>20</v>
      </c>
      <c r="C221">
        <v>0</v>
      </c>
      <c r="D221">
        <f>Table2[[#This Row],[V1]]/100</f>
        <v>0.8</v>
      </c>
      <c r="E221">
        <f>Table2[[#This Row],[V2]]/100</f>
        <v>0.2</v>
      </c>
      <c r="F221">
        <f>Table2[[#This Row],[V3]]/100</f>
        <v>0</v>
      </c>
      <c r="G221">
        <f>SUM(Table2[[#This Row],[w1]:[w3]])</f>
        <v>1</v>
      </c>
      <c r="H22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5.3631861395117326</v>
      </c>
      <c r="I221" s="19">
        <f>Table2[[#This Row],[w1]]*$N$7+Table2[[#This Row],[w2]]*$N$10+Table2[[#This Row],[w3]]*$R$7</f>
        <v>0.63135013333333345</v>
      </c>
      <c r="J221" s="19"/>
      <c r="K221" s="46">
        <f>$N$3+ ('Step1 '!$C$1-$N$3)*H221/'Step1 '!$C$2</f>
        <v>0.827332615768406</v>
      </c>
    </row>
    <row r="222" spans="1:11" x14ac:dyDescent="0.25">
      <c r="A222">
        <v>85</v>
      </c>
      <c r="B222">
        <v>0</v>
      </c>
      <c r="C222">
        <v>15</v>
      </c>
      <c r="D222">
        <f>Table2[[#This Row],[V1]]/100</f>
        <v>0.85</v>
      </c>
      <c r="E222">
        <f>Table2[[#This Row],[V2]]/100</f>
        <v>0</v>
      </c>
      <c r="F222">
        <f>Table2[[#This Row],[V3]]/100</f>
        <v>0.15</v>
      </c>
      <c r="G222">
        <f>SUM(Table2[[#This Row],[w1]:[w3]])</f>
        <v>1</v>
      </c>
      <c r="H222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5.4068397162929722</v>
      </c>
      <c r="I222" s="19">
        <f>Table2[[#This Row],[w1]]*$N$7+Table2[[#This Row],[w2]]*$N$10+Table2[[#This Row],[w3]]*$R$7</f>
        <v>0.65724146458333343</v>
      </c>
      <c r="J222" s="19"/>
      <c r="K222" s="46">
        <f>$N$3+ ('Step1 '!$C$1-$N$3)*H222/'Step1 '!$C$2</f>
        <v>0.83040390919101537</v>
      </c>
    </row>
    <row r="223" spans="1:11" x14ac:dyDescent="0.25">
      <c r="A223">
        <v>85</v>
      </c>
      <c r="B223">
        <v>5</v>
      </c>
      <c r="C223">
        <v>10</v>
      </c>
      <c r="D223">
        <f>Table2[[#This Row],[V1]]/100</f>
        <v>0.85</v>
      </c>
      <c r="E223">
        <f>Table2[[#This Row],[V2]]/100</f>
        <v>0.05</v>
      </c>
      <c r="F223">
        <f>Table2[[#This Row],[V3]]/100</f>
        <v>0.1</v>
      </c>
      <c r="G223">
        <f>SUM(Table2[[#This Row],[w1]:[w3]])</f>
        <v>1</v>
      </c>
      <c r="H223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5.3289473584825364</v>
      </c>
      <c r="I223" s="19">
        <f>Table2[[#This Row],[w1]]*$N$7+Table2[[#This Row],[w2]]*$N$10+Table2[[#This Row],[w3]]*$R$7</f>
        <v>0.6445695791666668</v>
      </c>
      <c r="J223" s="19"/>
      <c r="K223" s="46">
        <f>$N$3+ ('Step1 '!$C$1-$N$3)*H223/'Step1 '!$C$2</f>
        <v>0.82492371022785638</v>
      </c>
    </row>
    <row r="224" spans="1:11" x14ac:dyDescent="0.25">
      <c r="A224">
        <v>85</v>
      </c>
      <c r="B224">
        <v>10</v>
      </c>
      <c r="C224">
        <v>5</v>
      </c>
      <c r="D224">
        <f>Table2[[#This Row],[V1]]/100</f>
        <v>0.85</v>
      </c>
      <c r="E224">
        <f>Table2[[#This Row],[V2]]/100</f>
        <v>0.1</v>
      </c>
      <c r="F224">
        <f>Table2[[#This Row],[V3]]/100</f>
        <v>0.05</v>
      </c>
      <c r="G224">
        <f>SUM(Table2[[#This Row],[w1]:[w3]])</f>
        <v>1</v>
      </c>
      <c r="H224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5.3341883692819358</v>
      </c>
      <c r="I224" s="19">
        <f>Table2[[#This Row],[w1]]*$N$7+Table2[[#This Row],[w2]]*$N$10+Table2[[#This Row],[w3]]*$R$7</f>
        <v>0.63189769375000004</v>
      </c>
      <c r="J224" s="19"/>
      <c r="K224" s="46">
        <f>$N$3+ ('Step1 '!$C$1-$N$3)*H224/'Step1 '!$C$2</f>
        <v>0.82529244706874993</v>
      </c>
    </row>
    <row r="225" spans="1:11" x14ac:dyDescent="0.25">
      <c r="A225">
        <v>85</v>
      </c>
      <c r="B225">
        <v>15</v>
      </c>
      <c r="C225">
        <v>0</v>
      </c>
      <c r="D225">
        <f>Table2[[#This Row],[V1]]/100</f>
        <v>0.85</v>
      </c>
      <c r="E225">
        <f>Table2[[#This Row],[V2]]/100</f>
        <v>0.15</v>
      </c>
      <c r="F225">
        <f>Table2[[#This Row],[V3]]/100</f>
        <v>0</v>
      </c>
      <c r="G225">
        <f>SUM(Table2[[#This Row],[w1]:[w3]])</f>
        <v>1</v>
      </c>
      <c r="H225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5.422321693352127</v>
      </c>
      <c r="I225" s="19">
        <f>Table2[[#This Row],[w1]]*$N$7+Table2[[#This Row],[w2]]*$N$10+Table2[[#This Row],[w3]]*$R$7</f>
        <v>0.61922580833333341</v>
      </c>
      <c r="J225" s="19"/>
      <c r="K225" s="46">
        <f>$N$3+ ('Step1 '!$C$1-$N$3)*H225/'Step1 '!$C$2</f>
        <v>0.83149316001114992</v>
      </c>
    </row>
    <row r="226" spans="1:11" x14ac:dyDescent="0.25">
      <c r="A226">
        <v>90</v>
      </c>
      <c r="B226">
        <v>0</v>
      </c>
      <c r="C226">
        <v>10</v>
      </c>
      <c r="D226">
        <f>Table2[[#This Row],[V1]]/100</f>
        <v>0.9</v>
      </c>
      <c r="E226">
        <f>Table2[[#This Row],[V2]]/100</f>
        <v>0</v>
      </c>
      <c r="F226">
        <f>Table2[[#This Row],[V3]]/100</f>
        <v>0.1</v>
      </c>
      <c r="G226">
        <f>SUM(Table2[[#This Row],[w1]:[w3]])</f>
        <v>1</v>
      </c>
      <c r="H226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5.4544004968279989</v>
      </c>
      <c r="I226" s="19">
        <f>Table2[[#This Row],[w1]]*$N$7+Table2[[#This Row],[w2]]*$N$10+Table2[[#This Row],[w3]]*$R$7</f>
        <v>0.63244525416666675</v>
      </c>
      <c r="J226" s="19"/>
      <c r="K226" s="46">
        <f>$N$3+ ('Step1 '!$C$1-$N$3)*H226/'Step1 '!$C$2</f>
        <v>0.83375009805346312</v>
      </c>
    </row>
    <row r="227" spans="1:11" x14ac:dyDescent="0.25">
      <c r="A227">
        <v>90</v>
      </c>
      <c r="B227">
        <v>5</v>
      </c>
      <c r="C227">
        <v>5</v>
      </c>
      <c r="D227">
        <f>Table2[[#This Row],[V1]]/100</f>
        <v>0.9</v>
      </c>
      <c r="E227">
        <f>Table2[[#This Row],[V2]]/100</f>
        <v>0.05</v>
      </c>
      <c r="F227">
        <f>Table2[[#This Row],[V3]]/100</f>
        <v>0.05</v>
      </c>
      <c r="G227">
        <f>SUM(Table2[[#This Row],[w1]:[w3]])</f>
        <v>1</v>
      </c>
      <c r="H227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5.4432958111567276</v>
      </c>
      <c r="I227" s="19">
        <f>Table2[[#This Row],[w1]]*$N$7+Table2[[#This Row],[w2]]*$N$10+Table2[[#This Row],[w3]]*$R$7</f>
        <v>0.61977336875</v>
      </c>
      <c r="J227" s="19"/>
      <c r="K227" s="46">
        <f>$N$3+ ('Step1 '!$C$1-$N$3)*H227/'Step1 '!$C$2</f>
        <v>0.8329688161843225</v>
      </c>
    </row>
    <row r="228" spans="1:11" x14ac:dyDescent="0.25">
      <c r="A228">
        <v>90</v>
      </c>
      <c r="B228">
        <v>10</v>
      </c>
      <c r="C228">
        <v>0</v>
      </c>
      <c r="D228">
        <f>Table2[[#This Row],[V1]]/100</f>
        <v>0.9</v>
      </c>
      <c r="E228">
        <f>Table2[[#This Row],[V2]]/100</f>
        <v>0.1</v>
      </c>
      <c r="F228">
        <f>Table2[[#This Row],[V3]]/100</f>
        <v>0</v>
      </c>
      <c r="G228">
        <f>SUM(Table2[[#This Row],[w1]:[w3]])</f>
        <v>1</v>
      </c>
      <c r="H228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5.5136716599218119</v>
      </c>
      <c r="I228" s="19">
        <f>Table2[[#This Row],[w1]]*$N$7+Table2[[#This Row],[w2]]*$N$10+Table2[[#This Row],[w3]]*$R$7</f>
        <v>0.60710148333333336</v>
      </c>
      <c r="J228" s="19"/>
      <c r="K228" s="46">
        <f>$N$3+ ('Step1 '!$C$1-$N$3)*H228/'Step1 '!$C$2</f>
        <v>0.83792018322821726</v>
      </c>
    </row>
    <row r="229" spans="1:11" x14ac:dyDescent="0.25">
      <c r="A229">
        <v>95</v>
      </c>
      <c r="B229">
        <v>0</v>
      </c>
      <c r="C229">
        <v>5</v>
      </c>
      <c r="D229">
        <f>Table2[[#This Row],[V1]]/100</f>
        <v>0.95</v>
      </c>
      <c r="E229">
        <f>Table2[[#This Row],[V2]]/100</f>
        <v>0</v>
      </c>
      <c r="F229">
        <f>Table2[[#This Row],[V3]]/100</f>
        <v>0.05</v>
      </c>
      <c r="G229">
        <f>SUM(Table2[[#This Row],[w1]:[w3]])</f>
        <v>1</v>
      </c>
      <c r="H229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5.5827026308600383</v>
      </c>
      <c r="I229" s="19">
        <f>Table2[[#This Row],[w1]]*$N$7+Table2[[#This Row],[w2]]*$N$10+Table2[[#This Row],[w3]]*$R$7</f>
        <v>0.60764904375000017</v>
      </c>
      <c r="J229" s="19"/>
      <c r="K229" s="46">
        <f>$N$3+ ('Step1 '!$C$1-$N$3)*H229/'Step1 '!$C$2</f>
        <v>0.84277692997456921</v>
      </c>
    </row>
    <row r="230" spans="1:11" x14ac:dyDescent="0.25">
      <c r="A230">
        <v>95</v>
      </c>
      <c r="B230">
        <v>5</v>
      </c>
      <c r="C230">
        <v>0</v>
      </c>
      <c r="D230">
        <f>Table2[[#This Row],[V1]]/100</f>
        <v>0.95</v>
      </c>
      <c r="E230">
        <f>Table2[[#This Row],[V2]]/100</f>
        <v>0.05</v>
      </c>
      <c r="F230">
        <f>Table2[[#This Row],[V3]]/100</f>
        <v>0</v>
      </c>
      <c r="G230">
        <f>SUM(Table2[[#This Row],[w1]:[w3]])</f>
        <v>1</v>
      </c>
      <c r="H230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5.6356697426955709</v>
      </c>
      <c r="I230" s="19">
        <f>Table2[[#This Row],[w1]]*$N$7+Table2[[#This Row],[w2]]*$N$10+Table2[[#This Row],[w3]]*$R$7</f>
        <v>0.59497715833333342</v>
      </c>
      <c r="J230" s="19"/>
      <c r="K230" s="46">
        <f>$N$3+ ('Step1 '!$C$1-$N$3)*H230/'Step1 '!$C$2</f>
        <v>0.84650348697607924</v>
      </c>
    </row>
    <row r="231" spans="1:11" x14ac:dyDescent="0.25">
      <c r="A231">
        <v>100</v>
      </c>
      <c r="B231">
        <v>0</v>
      </c>
      <c r="C231">
        <v>0</v>
      </c>
      <c r="D231">
        <f>Table2[[#This Row],[V1]]/100</f>
        <v>1</v>
      </c>
      <c r="E231">
        <f>Table2[[#This Row],[V2]]/100</f>
        <v>0</v>
      </c>
      <c r="F231">
        <f>Table2[[#This Row],[V3]]/100</f>
        <v>0</v>
      </c>
      <c r="G231">
        <f>SUM(Table2[[#This Row],[w1]:[w3]])</f>
        <v>1</v>
      </c>
      <c r="H231" s="19">
        <f>SQRT(Table2[[#This Row],[w1]]*Table2[[#This Row],[w1]]*$N$8*$N$8+Table2[[#This Row],[w2]]*Table2[[#This Row],[w2]]*$N$11*$N$11+Table2[[#This Row],[w3]]*Table2[[#This Row],[w3]]*$R$8*$R$8+2*Table2[[#This Row],[w1]]*Table2[[#This Row],[w2]]*$N$8*$N$11*$N$15+2*Table2[[#This Row],[w2]]*Table2[[#This Row],[w3]]*$N$11*$R$8*$N$17+2*Table2[[#This Row],[w1]]*Table2[[#This Row],[w3]]*$N$8*$R$8*$N$16)</f>
        <v>5.7863777419146514</v>
      </c>
      <c r="I231" s="19">
        <f>Table2[[#This Row],[w1]]*$N$7+Table2[[#This Row],[w2]]*$N$10+Table2[[#This Row],[w3]]*$R$7</f>
        <v>0.58285283333333349</v>
      </c>
      <c r="J231" s="19"/>
      <c r="K231" s="46">
        <f>$N$3+ ('Step1 '!$C$1-$N$3)*H231/'Step1 '!$C$2</f>
        <v>0.8571067071670786</v>
      </c>
    </row>
  </sheetData>
  <phoneticPr fontId="13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31CDC-2F7A-42FE-921D-AA73FDC7227A}">
  <dimension ref="A1:Z241"/>
  <sheetViews>
    <sheetView showGridLines="0" topLeftCell="D1" zoomScale="99" zoomScaleNormal="85" workbookViewId="0">
      <selection activeCell="H23" sqref="H23"/>
    </sheetView>
  </sheetViews>
  <sheetFormatPr defaultRowHeight="13.2" x14ac:dyDescent="0.25"/>
  <cols>
    <col min="1" max="5" width="9" bestFit="1" customWidth="1"/>
    <col min="6" max="6" width="9.109375" bestFit="1" customWidth="1"/>
    <col min="9" max="9" width="16.5546875" customWidth="1"/>
    <col min="10" max="12" width="9.109375" bestFit="1" customWidth="1"/>
    <col min="13" max="13" width="13.109375" bestFit="1" customWidth="1"/>
    <col min="14" max="14" width="12.44140625" bestFit="1" customWidth="1"/>
    <col min="15" max="16" width="9.109375" bestFit="1" customWidth="1"/>
    <col min="17" max="17" width="9" bestFit="1" customWidth="1"/>
  </cols>
  <sheetData>
    <row r="1" spans="1:26" ht="12.75" customHeight="1" x14ac:dyDescent="0.25">
      <c r="A1" s="12" t="s">
        <v>17</v>
      </c>
      <c r="B1" s="12" t="s">
        <v>18</v>
      </c>
      <c r="C1" s="12" t="s">
        <v>6</v>
      </c>
      <c r="D1" s="13" t="s">
        <v>8</v>
      </c>
      <c r="E1" s="13" t="s">
        <v>11</v>
      </c>
      <c r="F1" s="13" t="s">
        <v>14</v>
      </c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2.75" customHeight="1" x14ac:dyDescent="0.25">
      <c r="A2" s="1">
        <v>1990</v>
      </c>
      <c r="B2" s="1">
        <v>1</v>
      </c>
      <c r="C2" s="15">
        <v>-6.713599308398055</v>
      </c>
      <c r="D2" s="10">
        <v>-6.53939</v>
      </c>
      <c r="E2" s="10">
        <v>-0.31052999999999997</v>
      </c>
      <c r="F2" s="10">
        <v>-9.6846200000000007</v>
      </c>
      <c r="G2" s="16"/>
      <c r="H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12.75" customHeight="1" x14ac:dyDescent="0.25">
      <c r="A3" s="1">
        <v>1990</v>
      </c>
      <c r="B3" s="1">
        <v>2</v>
      </c>
      <c r="C3" s="15">
        <v>1.2880823423377485</v>
      </c>
      <c r="D3" s="10">
        <v>0.62873999999999997</v>
      </c>
      <c r="E3" s="10">
        <v>8.2123199999999983</v>
      </c>
      <c r="F3" s="10">
        <v>-9.993940000000002</v>
      </c>
      <c r="G3" s="16"/>
      <c r="H3" s="14"/>
      <c r="I3" s="51" t="s">
        <v>77</v>
      </c>
      <c r="J3" s="52"/>
      <c r="K3" s="52"/>
      <c r="L3" s="52"/>
      <c r="M3" s="52"/>
      <c r="N3" s="52"/>
      <c r="O3" s="52"/>
      <c r="P3" s="52"/>
      <c r="Q3" s="52"/>
      <c r="R3" s="53"/>
      <c r="S3" s="14"/>
      <c r="T3" s="14"/>
      <c r="U3" s="14"/>
      <c r="V3" s="14"/>
      <c r="W3" s="14"/>
      <c r="X3" s="14"/>
      <c r="Y3" s="14"/>
      <c r="Z3" s="14"/>
    </row>
    <row r="4" spans="1:26" ht="12.75" customHeight="1" thickBot="1" x14ac:dyDescent="0.3">
      <c r="A4" s="1">
        <v>1990</v>
      </c>
      <c r="B4" s="1">
        <v>3</v>
      </c>
      <c r="C4" s="15">
        <v>2.6496808890475787</v>
      </c>
      <c r="D4" s="10">
        <v>-0.50983999999999996</v>
      </c>
      <c r="E4" s="10">
        <v>12.229079999999998</v>
      </c>
      <c r="F4" s="10">
        <v>3.8993500000000005</v>
      </c>
      <c r="G4" s="16"/>
      <c r="H4" s="14"/>
      <c r="I4" s="54"/>
      <c r="J4" s="55"/>
      <c r="K4" s="55"/>
      <c r="L4" s="55"/>
      <c r="M4" s="55"/>
      <c r="N4" s="55"/>
      <c r="O4" s="55"/>
      <c r="P4" s="55"/>
      <c r="Q4" s="55"/>
      <c r="R4" s="56"/>
      <c r="S4" s="14"/>
      <c r="T4" s="14"/>
      <c r="U4" s="14"/>
      <c r="V4" s="14"/>
      <c r="W4" s="14"/>
      <c r="X4" s="14"/>
      <c r="Y4" s="14"/>
      <c r="Z4" s="14"/>
    </row>
    <row r="5" spans="1:26" ht="12.75" customHeight="1" x14ac:dyDescent="0.25">
      <c r="A5" s="1">
        <v>1990</v>
      </c>
      <c r="B5" s="1">
        <v>4</v>
      </c>
      <c r="C5" s="15">
        <v>-2.4945991114009747</v>
      </c>
      <c r="D5" s="10">
        <v>-4.21523</v>
      </c>
      <c r="E5" s="10">
        <v>-2.8874499999999999</v>
      </c>
      <c r="F5" s="10">
        <v>-5.7812099999999997</v>
      </c>
      <c r="G5" s="16"/>
      <c r="H5" s="14"/>
      <c r="I5" s="57" t="s">
        <v>53</v>
      </c>
      <c r="J5" s="50"/>
      <c r="K5" s="55"/>
      <c r="L5" s="55"/>
      <c r="M5" s="55"/>
      <c r="N5" s="55"/>
      <c r="O5" s="55"/>
      <c r="P5" s="55"/>
      <c r="Q5" s="55"/>
      <c r="R5" s="56"/>
      <c r="S5" s="14"/>
      <c r="T5" s="14"/>
      <c r="U5" s="14"/>
      <c r="V5" s="14"/>
      <c r="W5" s="14"/>
      <c r="X5" s="14"/>
      <c r="Y5" s="14"/>
      <c r="Z5" s="14"/>
    </row>
    <row r="6" spans="1:26" ht="12.75" customHeight="1" x14ac:dyDescent="0.25">
      <c r="A6" s="1">
        <v>1990</v>
      </c>
      <c r="B6" s="1">
        <v>5</v>
      </c>
      <c r="C6" s="15">
        <v>9.7504284937920627</v>
      </c>
      <c r="D6" s="10">
        <v>1.5308999999999999</v>
      </c>
      <c r="E6" s="10">
        <v>18.537979999999997</v>
      </c>
      <c r="F6" s="10">
        <v>18.37378</v>
      </c>
      <c r="G6" s="16"/>
      <c r="H6" s="14"/>
      <c r="I6" s="58" t="s">
        <v>54</v>
      </c>
      <c r="J6" s="47">
        <v>0.49540788499370136</v>
      </c>
      <c r="K6" s="55"/>
      <c r="L6" s="55"/>
      <c r="M6" s="55"/>
      <c r="N6" s="55"/>
      <c r="O6" s="55"/>
      <c r="P6" s="55"/>
      <c r="Q6" s="55"/>
      <c r="R6" s="56"/>
      <c r="S6" s="14"/>
      <c r="T6" s="14"/>
      <c r="U6" s="14"/>
      <c r="V6" s="14"/>
      <c r="W6" s="14"/>
      <c r="X6" s="14"/>
      <c r="Y6" s="14"/>
      <c r="Z6" s="14"/>
    </row>
    <row r="7" spans="1:26" ht="12.75" customHeight="1" x14ac:dyDescent="0.25">
      <c r="A7" s="1">
        <v>1990</v>
      </c>
      <c r="B7" s="1">
        <v>6</v>
      </c>
      <c r="C7" s="15">
        <v>-0.67470626026850944</v>
      </c>
      <c r="D7" s="10">
        <v>2.4862100000000003</v>
      </c>
      <c r="E7" s="10">
        <v>6.3752000000000004</v>
      </c>
      <c r="F7" s="10">
        <v>-3.4225599999999998</v>
      </c>
      <c r="G7" s="16"/>
      <c r="H7" s="14"/>
      <c r="I7" s="58" t="s">
        <v>55</v>
      </c>
      <c r="J7" s="47">
        <v>0.24542897251393242</v>
      </c>
      <c r="K7" s="55"/>
      <c r="L7" s="55"/>
      <c r="M7" s="55"/>
      <c r="N7" s="55"/>
      <c r="O7" s="55"/>
      <c r="P7" s="55"/>
      <c r="Q7" s="55"/>
      <c r="R7" s="56"/>
      <c r="S7" s="14"/>
      <c r="T7" s="14"/>
      <c r="U7" s="14"/>
      <c r="V7" s="14"/>
      <c r="W7" s="14"/>
      <c r="X7" s="14"/>
      <c r="Y7" s="14"/>
      <c r="Z7" s="14"/>
    </row>
    <row r="8" spans="1:26" ht="12.75" customHeight="1" x14ac:dyDescent="0.25">
      <c r="A8" s="1">
        <v>1990</v>
      </c>
      <c r="B8" s="1">
        <v>7</v>
      </c>
      <c r="C8" s="15">
        <v>-0.32059804061931318</v>
      </c>
      <c r="D8" s="10">
        <v>0.32017000000000001</v>
      </c>
      <c r="E8" s="10">
        <v>-1.38205</v>
      </c>
      <c r="F8" s="10">
        <v>3.4211300000000002</v>
      </c>
      <c r="G8" s="16"/>
      <c r="H8" s="14"/>
      <c r="I8" s="58" t="s">
        <v>56</v>
      </c>
      <c r="J8" s="47">
        <v>0.24225850601189011</v>
      </c>
      <c r="K8" s="55"/>
      <c r="L8" s="55"/>
      <c r="M8" s="55"/>
      <c r="N8" s="55"/>
      <c r="O8" s="55"/>
      <c r="P8" s="55"/>
      <c r="Q8" s="55"/>
      <c r="R8" s="56"/>
      <c r="S8" s="14"/>
      <c r="T8" s="14"/>
      <c r="U8" s="14"/>
      <c r="V8" s="14"/>
      <c r="W8" s="14"/>
      <c r="X8" s="14"/>
      <c r="Y8" s="14"/>
      <c r="Z8" s="14"/>
    </row>
    <row r="9" spans="1:26" ht="12.75" customHeight="1" x14ac:dyDescent="0.25">
      <c r="A9" s="1">
        <v>1990</v>
      </c>
      <c r="B9" s="1">
        <v>8</v>
      </c>
      <c r="C9" s="15">
        <v>-9.0389597065838938</v>
      </c>
      <c r="D9" s="10">
        <v>-9.3887000000000018</v>
      </c>
      <c r="E9" s="10">
        <v>-16.117320000000003</v>
      </c>
      <c r="F9" s="10">
        <v>-26.630610000000001</v>
      </c>
      <c r="G9" s="16"/>
      <c r="H9" s="14"/>
      <c r="I9" s="58" t="s">
        <v>57</v>
      </c>
      <c r="J9" s="47">
        <v>7.1763245446079873</v>
      </c>
      <c r="K9" s="55"/>
      <c r="L9" s="55"/>
      <c r="M9" s="55"/>
      <c r="N9" s="55"/>
      <c r="O9" s="55"/>
      <c r="P9" s="55"/>
      <c r="Q9" s="55"/>
      <c r="R9" s="56"/>
      <c r="S9" s="14"/>
      <c r="T9" s="14"/>
      <c r="U9" s="14"/>
      <c r="V9" s="14"/>
      <c r="W9" s="14"/>
      <c r="X9" s="14"/>
      <c r="Y9" s="14"/>
      <c r="Z9" s="14"/>
    </row>
    <row r="10" spans="1:26" ht="12.75" customHeight="1" thickBot="1" x14ac:dyDescent="0.3">
      <c r="A10" s="1">
        <v>1990</v>
      </c>
      <c r="B10" s="1">
        <v>9</v>
      </c>
      <c r="C10" s="15">
        <v>-4.8667975006203452</v>
      </c>
      <c r="D10" s="10">
        <v>-0.1</v>
      </c>
      <c r="E10" s="10">
        <v>-13.830570000000002</v>
      </c>
      <c r="F10" s="10">
        <v>-12.043700000000001</v>
      </c>
      <c r="G10" s="16"/>
      <c r="H10" s="14"/>
      <c r="I10" s="59" t="s">
        <v>58</v>
      </c>
      <c r="J10" s="48">
        <v>240</v>
      </c>
      <c r="K10" s="55"/>
      <c r="L10" s="55"/>
      <c r="M10" s="55"/>
      <c r="N10" s="55"/>
      <c r="O10" s="55"/>
      <c r="P10" s="55"/>
      <c r="Q10" s="55"/>
      <c r="R10" s="56"/>
      <c r="S10" s="14"/>
      <c r="T10" s="14"/>
      <c r="U10" s="14"/>
      <c r="V10" s="14"/>
      <c r="W10" s="14"/>
      <c r="X10" s="14"/>
      <c r="Y10" s="14"/>
      <c r="Z10" s="14"/>
    </row>
    <row r="11" spans="1:26" ht="12.75" customHeight="1" x14ac:dyDescent="0.25">
      <c r="A11" s="1">
        <v>1990</v>
      </c>
      <c r="B11" s="1">
        <v>10</v>
      </c>
      <c r="C11" s="15">
        <v>-0.4256227251710154</v>
      </c>
      <c r="D11" s="10">
        <v>5.5603800000000003</v>
      </c>
      <c r="E11" s="10">
        <v>7.4075100000000003</v>
      </c>
      <c r="F11" s="10">
        <v>0.95818999999999988</v>
      </c>
      <c r="G11" s="16"/>
      <c r="H11" s="14"/>
      <c r="I11" s="54"/>
      <c r="J11" s="55"/>
      <c r="K11" s="55"/>
      <c r="L11" s="55"/>
      <c r="M11" s="55"/>
      <c r="N11" s="55"/>
      <c r="O11" s="55"/>
      <c r="P11" s="55"/>
      <c r="Q11" s="55"/>
      <c r="R11" s="56"/>
      <c r="S11" s="14"/>
      <c r="T11" s="14"/>
      <c r="U11" s="14"/>
      <c r="V11" s="14"/>
      <c r="W11" s="14"/>
      <c r="X11" s="14"/>
      <c r="Y11" s="14"/>
      <c r="Z11" s="14"/>
    </row>
    <row r="12" spans="1:26" ht="12.75" customHeight="1" thickBot="1" x14ac:dyDescent="0.3">
      <c r="A12" s="1">
        <v>1990</v>
      </c>
      <c r="B12" s="1">
        <v>11</v>
      </c>
      <c r="C12" s="15">
        <v>6.4640186693337265</v>
      </c>
      <c r="D12" s="10">
        <v>2.9357100000000003</v>
      </c>
      <c r="E12" s="10">
        <v>-0.65866000000000013</v>
      </c>
      <c r="F12" s="10">
        <v>18.748009999999997</v>
      </c>
      <c r="G12" s="16"/>
      <c r="H12" s="14"/>
      <c r="I12" s="54" t="s">
        <v>59</v>
      </c>
      <c r="J12" s="55"/>
      <c r="K12" s="55"/>
      <c r="L12" s="55"/>
      <c r="M12" s="55"/>
      <c r="N12" s="55"/>
      <c r="O12" s="55"/>
      <c r="P12" s="55"/>
      <c r="Q12" s="55"/>
      <c r="R12" s="56"/>
      <c r="S12" s="14"/>
      <c r="T12" s="14"/>
      <c r="U12" s="14"/>
      <c r="V12" s="14"/>
      <c r="W12" s="14"/>
      <c r="X12" s="14"/>
      <c r="Y12" s="14"/>
      <c r="Z12" s="14"/>
    </row>
    <row r="13" spans="1:26" ht="12.75" customHeight="1" x14ac:dyDescent="0.25">
      <c r="A13" s="1">
        <v>1990</v>
      </c>
      <c r="B13" s="1">
        <v>12</v>
      </c>
      <c r="C13" s="15">
        <v>2.7855441359025512</v>
      </c>
      <c r="D13" s="10">
        <v>-0.98496000000000006</v>
      </c>
      <c r="E13" s="10">
        <v>2.4423700000000004</v>
      </c>
      <c r="F13" s="10">
        <v>3.5116000000000005</v>
      </c>
      <c r="G13" s="16"/>
      <c r="H13" s="14"/>
      <c r="I13" s="60"/>
      <c r="J13" s="49" t="s">
        <v>64</v>
      </c>
      <c r="K13" s="49" t="s">
        <v>65</v>
      </c>
      <c r="L13" s="49" t="s">
        <v>66</v>
      </c>
      <c r="M13" s="49" t="s">
        <v>67</v>
      </c>
      <c r="N13" s="49" t="s">
        <v>68</v>
      </c>
      <c r="O13" s="55"/>
      <c r="P13" s="55"/>
      <c r="Q13" s="55"/>
      <c r="R13" s="56"/>
      <c r="S13" s="14"/>
      <c r="T13" s="14"/>
      <c r="U13" s="14"/>
      <c r="V13" s="14"/>
      <c r="W13" s="14"/>
      <c r="X13" s="14"/>
      <c r="Y13" s="14"/>
      <c r="Z13" s="14"/>
    </row>
    <row r="14" spans="1:26" ht="12.75" customHeight="1" x14ac:dyDescent="0.25">
      <c r="A14" s="1">
        <v>1991</v>
      </c>
      <c r="B14" s="1">
        <v>1</v>
      </c>
      <c r="C14" s="15">
        <v>4.35518223436</v>
      </c>
      <c r="D14" s="10">
        <v>-1.88571</v>
      </c>
      <c r="E14" s="10">
        <v>8.7154299999999978</v>
      </c>
      <c r="F14" s="10">
        <v>5.0282100000000005</v>
      </c>
      <c r="G14" s="16"/>
      <c r="H14" s="14"/>
      <c r="I14" s="58" t="s">
        <v>60</v>
      </c>
      <c r="J14" s="47">
        <v>1</v>
      </c>
      <c r="K14" s="47">
        <v>3986.638004800443</v>
      </c>
      <c r="L14" s="47">
        <v>3986.638004800443</v>
      </c>
      <c r="M14" s="47">
        <v>77.41099688510694</v>
      </c>
      <c r="N14" s="47">
        <v>2.8783945521683963E-16</v>
      </c>
      <c r="O14" s="55"/>
      <c r="P14" s="55"/>
      <c r="Q14" s="55"/>
      <c r="R14" s="56"/>
      <c r="S14" s="14"/>
      <c r="T14" s="14"/>
      <c r="U14" s="14"/>
      <c r="V14" s="14"/>
      <c r="W14" s="14"/>
      <c r="X14" s="14"/>
      <c r="Y14" s="14"/>
      <c r="Z14" s="14"/>
    </row>
    <row r="15" spans="1:26" ht="12.75" customHeight="1" x14ac:dyDescent="0.25">
      <c r="A15" s="1">
        <v>1991</v>
      </c>
      <c r="B15" s="1">
        <v>2</v>
      </c>
      <c r="C15" s="15">
        <v>7.1514589122150252</v>
      </c>
      <c r="D15" s="10">
        <v>5.7181800000000003</v>
      </c>
      <c r="E15" s="10">
        <v>-1.87215</v>
      </c>
      <c r="F15" s="10">
        <v>0.30715000000000003</v>
      </c>
      <c r="G15" s="16"/>
      <c r="H15" s="14"/>
      <c r="I15" s="58" t="s">
        <v>61</v>
      </c>
      <c r="J15" s="47">
        <v>238</v>
      </c>
      <c r="K15" s="47">
        <v>12256.912884751242</v>
      </c>
      <c r="L15" s="47">
        <v>51.499633969543034</v>
      </c>
      <c r="M15" s="47"/>
      <c r="N15" s="47"/>
      <c r="O15" s="55"/>
      <c r="P15" s="55"/>
      <c r="Q15" s="55"/>
      <c r="R15" s="56"/>
      <c r="S15" s="14"/>
      <c r="T15" s="14"/>
      <c r="U15" s="14"/>
      <c r="V15" s="14"/>
      <c r="W15" s="14"/>
      <c r="X15" s="14"/>
      <c r="Y15" s="14"/>
      <c r="Z15" s="14"/>
    </row>
    <row r="16" spans="1:26" ht="12.75" customHeight="1" thickBot="1" x14ac:dyDescent="0.3">
      <c r="A16" s="1">
        <v>1991</v>
      </c>
      <c r="B16" s="1">
        <v>3</v>
      </c>
      <c r="C16" s="15">
        <v>2.421438267190168</v>
      </c>
      <c r="D16" s="10">
        <v>2.0929800000000003</v>
      </c>
      <c r="E16" s="10">
        <v>-2.6906699999999995</v>
      </c>
      <c r="F16" s="10">
        <v>5.2441000000000004</v>
      </c>
      <c r="G16" s="16"/>
      <c r="H16" s="14"/>
      <c r="I16" s="59" t="s">
        <v>62</v>
      </c>
      <c r="J16" s="48">
        <v>239</v>
      </c>
      <c r="K16" s="48">
        <v>16243.550889551685</v>
      </c>
      <c r="L16" s="48"/>
      <c r="M16" s="48"/>
      <c r="N16" s="48"/>
      <c r="O16" s="55"/>
      <c r="P16" s="55"/>
      <c r="Q16" s="55"/>
      <c r="R16" s="56"/>
      <c r="S16" s="14"/>
      <c r="T16" s="14"/>
      <c r="U16" s="14"/>
      <c r="V16" s="14"/>
      <c r="W16" s="14"/>
      <c r="X16" s="14"/>
      <c r="Y16" s="14"/>
      <c r="Z16" s="14"/>
    </row>
    <row r="17" spans="1:26" ht="12.75" customHeight="1" thickBot="1" x14ac:dyDescent="0.3">
      <c r="A17" s="1">
        <v>1991</v>
      </c>
      <c r="B17" s="1">
        <v>4</v>
      </c>
      <c r="C17" s="15">
        <v>0.23679910315606012</v>
      </c>
      <c r="D17" s="10">
        <v>1.6167399999999998</v>
      </c>
      <c r="E17" s="10">
        <v>-2.7595799999999997</v>
      </c>
      <c r="F17" s="10">
        <v>4.1464600000000003</v>
      </c>
      <c r="G17" s="16"/>
      <c r="H17" s="14"/>
      <c r="I17" s="54"/>
      <c r="J17" s="55"/>
      <c r="K17" s="55"/>
      <c r="L17" s="55"/>
      <c r="M17" s="55"/>
      <c r="N17" s="55"/>
      <c r="O17" s="55"/>
      <c r="P17" s="55"/>
      <c r="Q17" s="55"/>
      <c r="R17" s="56"/>
      <c r="S17" s="14"/>
      <c r="T17" s="14"/>
      <c r="U17" s="14"/>
      <c r="V17" s="14"/>
      <c r="W17" s="14"/>
      <c r="X17" s="14"/>
      <c r="Y17" s="14"/>
      <c r="Z17" s="14"/>
    </row>
    <row r="18" spans="1:26" ht="12.75" customHeight="1" x14ac:dyDescent="0.25">
      <c r="A18" s="1">
        <v>1991</v>
      </c>
      <c r="B18" s="1">
        <v>5</v>
      </c>
      <c r="C18" s="15">
        <v>4.313921555153799</v>
      </c>
      <c r="D18" s="10">
        <v>-1.02827</v>
      </c>
      <c r="E18" s="10">
        <v>7.27705</v>
      </c>
      <c r="F18" s="10">
        <v>-0.46977999999999998</v>
      </c>
      <c r="G18" s="16"/>
      <c r="H18" s="14"/>
      <c r="I18" s="60"/>
      <c r="J18" s="49" t="s">
        <v>69</v>
      </c>
      <c r="K18" s="49" t="s">
        <v>57</v>
      </c>
      <c r="L18" s="49" t="s">
        <v>70</v>
      </c>
      <c r="M18" s="49" t="s">
        <v>71</v>
      </c>
      <c r="N18" s="49" t="s">
        <v>72</v>
      </c>
      <c r="O18" s="49" t="s">
        <v>73</v>
      </c>
      <c r="P18" s="49" t="s">
        <v>74</v>
      </c>
      <c r="Q18" s="49" t="s">
        <v>75</v>
      </c>
      <c r="R18" s="56"/>
      <c r="S18" s="14"/>
      <c r="T18" s="14"/>
      <c r="U18" s="14"/>
      <c r="V18" s="14"/>
      <c r="W18" s="14"/>
      <c r="X18" s="14"/>
      <c r="Y18" s="14"/>
      <c r="Z18" s="14"/>
    </row>
    <row r="19" spans="1:26" ht="12.75" customHeight="1" x14ac:dyDescent="0.25">
      <c r="A19" s="1">
        <v>1991</v>
      </c>
      <c r="B19" s="1">
        <v>6</v>
      </c>
      <c r="C19" s="15">
        <v>-4.581189591922497</v>
      </c>
      <c r="D19" s="10">
        <v>-1.40435</v>
      </c>
      <c r="E19" s="10">
        <v>-6.4938599999999997</v>
      </c>
      <c r="F19" s="10">
        <v>-20.100470000000001</v>
      </c>
      <c r="G19" s="16"/>
      <c r="H19" s="14"/>
      <c r="I19" s="58" t="s">
        <v>63</v>
      </c>
      <c r="J19" s="47">
        <v>0.11488725585028259</v>
      </c>
      <c r="K19" s="47">
        <v>0.47021494901559308</v>
      </c>
      <c r="L19" s="47">
        <v>0.24432922877250493</v>
      </c>
      <c r="M19" s="47">
        <v>0.80718635066120425</v>
      </c>
      <c r="N19" s="47">
        <v>-0.81142750861929691</v>
      </c>
      <c r="O19" s="47">
        <v>1.041202020319862</v>
      </c>
      <c r="P19" s="47">
        <v>-0.81142750861929691</v>
      </c>
      <c r="Q19" s="47">
        <v>1.041202020319862</v>
      </c>
      <c r="R19" s="56"/>
      <c r="S19" s="14"/>
      <c r="T19" s="14"/>
      <c r="U19" s="14"/>
      <c r="V19" s="14"/>
      <c r="W19" s="14"/>
      <c r="X19" s="14"/>
      <c r="Y19" s="14"/>
      <c r="Z19" s="14"/>
    </row>
    <row r="20" spans="1:26" ht="12.75" customHeight="1" thickBot="1" x14ac:dyDescent="0.3">
      <c r="A20" s="1">
        <v>1991</v>
      </c>
      <c r="B20" s="1">
        <v>7</v>
      </c>
      <c r="C20" s="15">
        <v>4.6609231384517225</v>
      </c>
      <c r="D20" s="10">
        <v>4.3052900000000003</v>
      </c>
      <c r="E20" s="10">
        <v>1.2661199999999999</v>
      </c>
      <c r="F20" s="10">
        <v>0.36804000000000003</v>
      </c>
      <c r="G20" s="16"/>
      <c r="H20" s="14"/>
      <c r="I20" s="59" t="s">
        <v>76</v>
      </c>
      <c r="J20" s="48">
        <v>0.9415662908041087</v>
      </c>
      <c r="K20" s="48">
        <v>0.10701621133969272</v>
      </c>
      <c r="L20" s="48">
        <v>8.7983519414210303</v>
      </c>
      <c r="M20" s="48">
        <v>2.8783945521680655E-16</v>
      </c>
      <c r="N20" s="48">
        <v>0.73074633110464182</v>
      </c>
      <c r="O20" s="48">
        <v>1.1523862505035756</v>
      </c>
      <c r="P20" s="48">
        <v>0.73074633110464182</v>
      </c>
      <c r="Q20" s="48">
        <v>1.1523862505035756</v>
      </c>
      <c r="R20" s="56"/>
      <c r="S20" s="14"/>
      <c r="T20" s="14"/>
      <c r="U20" s="14"/>
      <c r="V20" s="14"/>
      <c r="W20" s="14"/>
      <c r="X20" s="14"/>
      <c r="Y20" s="14"/>
      <c r="Z20" s="14"/>
    </row>
    <row r="21" spans="1:26" ht="12.75" customHeight="1" x14ac:dyDescent="0.25">
      <c r="A21" s="1">
        <v>1991</v>
      </c>
      <c r="B21" s="1">
        <v>8</v>
      </c>
      <c r="C21" s="15">
        <v>2.3691788393389146</v>
      </c>
      <c r="D21" s="10">
        <v>3.6130800000000005</v>
      </c>
      <c r="E21" s="10">
        <v>7.71671</v>
      </c>
      <c r="F21" s="10">
        <v>6.8759500000000005</v>
      </c>
      <c r="G21" s="16"/>
      <c r="H21" s="14"/>
      <c r="I21" s="54"/>
      <c r="J21" s="55"/>
      <c r="K21" s="55"/>
      <c r="L21" s="55"/>
      <c r="M21" s="55"/>
      <c r="N21" s="55"/>
      <c r="O21" s="55"/>
      <c r="P21" s="55"/>
      <c r="Q21" s="55"/>
      <c r="R21" s="56"/>
      <c r="S21" s="14"/>
      <c r="T21" s="14"/>
      <c r="U21" s="14"/>
      <c r="V21" s="14"/>
      <c r="W21" s="14"/>
      <c r="X21" s="14"/>
      <c r="Y21" s="14"/>
      <c r="Z21" s="14"/>
    </row>
    <row r="22" spans="1:26" ht="12.75" customHeight="1" x14ac:dyDescent="0.25">
      <c r="A22" s="1">
        <v>1991</v>
      </c>
      <c r="B22" s="1">
        <v>9</v>
      </c>
      <c r="C22" s="15">
        <v>-1.6735472001635388</v>
      </c>
      <c r="D22" s="10">
        <v>1.55975</v>
      </c>
      <c r="E22" s="10">
        <v>1.91005</v>
      </c>
      <c r="F22" s="10">
        <v>-0.88191000000000008</v>
      </c>
      <c r="G22" s="16"/>
      <c r="H22" s="14"/>
      <c r="I22" s="61" t="s">
        <v>52</v>
      </c>
      <c r="J22" s="55"/>
      <c r="K22" s="55"/>
      <c r="L22" s="55"/>
      <c r="M22" s="55"/>
      <c r="N22" s="55"/>
      <c r="O22" s="55"/>
      <c r="P22" s="55"/>
      <c r="Q22" s="55"/>
      <c r="R22" s="56"/>
      <c r="S22" s="14"/>
      <c r="T22" s="14"/>
      <c r="U22" s="14"/>
      <c r="V22" s="14"/>
      <c r="W22" s="14"/>
      <c r="X22" s="14"/>
      <c r="Y22" s="14"/>
      <c r="Z22" s="14"/>
    </row>
    <row r="23" spans="1:26" ht="12.75" customHeight="1" thickBot="1" x14ac:dyDescent="0.3">
      <c r="A23" s="1">
        <v>1991</v>
      </c>
      <c r="B23" s="1">
        <v>10</v>
      </c>
      <c r="C23" s="15">
        <v>1.3445416129979959</v>
      </c>
      <c r="D23" s="10">
        <v>2.7571400000000001</v>
      </c>
      <c r="E23" s="10">
        <v>-3.0556699999999997</v>
      </c>
      <c r="F23" s="10">
        <v>-0.54122999999999999</v>
      </c>
      <c r="G23" s="16"/>
      <c r="H23" s="14"/>
      <c r="I23" s="54"/>
      <c r="J23" s="55"/>
      <c r="K23" s="55"/>
      <c r="L23" s="55"/>
      <c r="M23" s="55"/>
      <c r="N23" s="55"/>
      <c r="O23" s="55"/>
      <c r="P23" s="55"/>
      <c r="Q23" s="55"/>
      <c r="R23" s="56"/>
      <c r="S23" s="14"/>
      <c r="T23" s="14"/>
      <c r="U23" s="14"/>
      <c r="V23" s="14"/>
      <c r="W23" s="14"/>
      <c r="X23" s="14"/>
      <c r="Y23" s="14"/>
      <c r="Z23" s="14"/>
    </row>
    <row r="24" spans="1:26" ht="12.75" customHeight="1" x14ac:dyDescent="0.25">
      <c r="A24" s="1">
        <v>1991</v>
      </c>
      <c r="B24" s="1">
        <v>11</v>
      </c>
      <c r="C24" s="15">
        <v>-4.0293881555476307</v>
      </c>
      <c r="D24" s="10">
        <v>2.2015900000000004</v>
      </c>
      <c r="E24" s="10">
        <v>-9.7446700000000011</v>
      </c>
      <c r="F24" s="10">
        <v>-7.1796499999999996</v>
      </c>
      <c r="G24" s="16"/>
      <c r="H24" s="14"/>
      <c r="I24" s="57" t="s">
        <v>53</v>
      </c>
      <c r="J24" s="50"/>
      <c r="K24" s="55"/>
      <c r="L24" s="55"/>
      <c r="M24" s="55"/>
      <c r="N24" s="55"/>
      <c r="O24" s="55"/>
      <c r="P24" s="55"/>
      <c r="Q24" s="55"/>
      <c r="R24" s="56"/>
      <c r="S24" s="14"/>
      <c r="T24" s="14"/>
      <c r="U24" s="14"/>
      <c r="V24" s="14"/>
      <c r="W24" s="14"/>
      <c r="X24" s="14"/>
      <c r="Y24" s="14"/>
      <c r="Z24" s="14"/>
    </row>
    <row r="25" spans="1:26" ht="12.75" customHeight="1" x14ac:dyDescent="0.25">
      <c r="A25" s="1">
        <v>1991</v>
      </c>
      <c r="B25" s="1">
        <v>12</v>
      </c>
      <c r="C25" s="15">
        <v>11.436563826499913</v>
      </c>
      <c r="D25" s="10">
        <v>8.2003999999999984</v>
      </c>
      <c r="E25" s="10">
        <v>7.8096100000000002</v>
      </c>
      <c r="F25" s="10">
        <v>10.472189999999999</v>
      </c>
      <c r="G25" s="16"/>
      <c r="H25" s="14"/>
      <c r="I25" s="58" t="s">
        <v>54</v>
      </c>
      <c r="J25" s="47">
        <v>0.29315422397746271</v>
      </c>
      <c r="K25" s="55"/>
      <c r="L25" s="55"/>
      <c r="M25" s="55"/>
      <c r="N25" s="55"/>
      <c r="O25" s="55"/>
      <c r="P25" s="55"/>
      <c r="Q25" s="55"/>
      <c r="R25" s="56"/>
      <c r="S25" s="14"/>
      <c r="T25" s="14"/>
      <c r="U25" s="14"/>
      <c r="V25" s="14"/>
      <c r="W25" s="14"/>
      <c r="X25" s="14"/>
      <c r="Y25" s="14"/>
      <c r="Z25" s="14"/>
    </row>
    <row r="26" spans="1:26" ht="12.75" customHeight="1" x14ac:dyDescent="0.25">
      <c r="A26" s="1">
        <v>1992</v>
      </c>
      <c r="B26" s="1">
        <v>1</v>
      </c>
      <c r="C26" s="15">
        <v>-1.8635081405991683</v>
      </c>
      <c r="D26" s="10">
        <v>-5.5744499999999997</v>
      </c>
      <c r="E26" s="10">
        <v>6.4445000000000006</v>
      </c>
      <c r="F26" s="10">
        <v>-15.684310000000002</v>
      </c>
      <c r="G26" s="16"/>
      <c r="H26" s="14"/>
      <c r="I26" s="58" t="s">
        <v>55</v>
      </c>
      <c r="J26" s="47">
        <v>8.5939399035828382E-2</v>
      </c>
      <c r="K26" s="55"/>
      <c r="L26" s="55"/>
      <c r="M26" s="55"/>
      <c r="N26" s="55"/>
      <c r="O26" s="55"/>
      <c r="P26" s="55"/>
      <c r="Q26" s="55"/>
      <c r="R26" s="56"/>
      <c r="S26" s="14"/>
      <c r="T26" s="14"/>
      <c r="U26" s="14"/>
      <c r="V26" s="14"/>
      <c r="W26" s="14"/>
      <c r="X26" s="14"/>
      <c r="Y26" s="14"/>
      <c r="Z26" s="14"/>
    </row>
    <row r="27" spans="1:26" ht="12.75" customHeight="1" x14ac:dyDescent="0.25">
      <c r="A27" s="1">
        <v>1992</v>
      </c>
      <c r="B27" s="1">
        <v>2</v>
      </c>
      <c r="C27" s="15">
        <v>1.2951061727870528</v>
      </c>
      <c r="D27" s="10">
        <v>-2.8799199999999998</v>
      </c>
      <c r="E27" s="10">
        <v>-9.1909100000000006</v>
      </c>
      <c r="F27" s="10">
        <v>25.54082</v>
      </c>
      <c r="G27" s="16"/>
      <c r="H27" s="14"/>
      <c r="I27" s="58" t="s">
        <v>56</v>
      </c>
      <c r="J27" s="47">
        <v>8.2098808275474708E-2</v>
      </c>
      <c r="K27" s="55"/>
      <c r="L27" s="55"/>
      <c r="M27" s="55"/>
      <c r="N27" s="55"/>
      <c r="O27" s="55"/>
      <c r="P27" s="55"/>
      <c r="Q27" s="55"/>
      <c r="R27" s="56"/>
      <c r="S27" s="14"/>
      <c r="T27" s="14"/>
      <c r="U27" s="14"/>
      <c r="V27" s="14"/>
      <c r="W27" s="14"/>
      <c r="X27" s="14"/>
      <c r="Y27" s="14"/>
      <c r="Z27" s="14"/>
    </row>
    <row r="28" spans="1:26" ht="12.75" customHeight="1" x14ac:dyDescent="0.25">
      <c r="A28" s="1">
        <v>1992</v>
      </c>
      <c r="B28" s="1">
        <v>3</v>
      </c>
      <c r="C28" s="15">
        <v>-1.9448773152177856</v>
      </c>
      <c r="D28" s="10">
        <v>-0.50485999999999998</v>
      </c>
      <c r="E28" s="10">
        <v>-4.71957</v>
      </c>
      <c r="F28" s="10">
        <v>-2.4679899999999995</v>
      </c>
      <c r="G28" s="16"/>
      <c r="H28" s="14"/>
      <c r="I28" s="58" t="s">
        <v>57</v>
      </c>
      <c r="J28" s="47">
        <v>5.5553499111252966</v>
      </c>
      <c r="K28" s="55"/>
      <c r="L28" s="55"/>
      <c r="M28" s="55"/>
      <c r="N28" s="55"/>
      <c r="O28" s="55"/>
      <c r="P28" s="55"/>
      <c r="Q28" s="55"/>
      <c r="R28" s="56"/>
      <c r="S28" s="14"/>
      <c r="T28" s="14"/>
      <c r="U28" s="14"/>
      <c r="V28" s="14"/>
      <c r="W28" s="14"/>
      <c r="X28" s="14"/>
      <c r="Y28" s="14"/>
      <c r="Z28" s="14"/>
    </row>
    <row r="29" spans="1:26" ht="12.75" customHeight="1" thickBot="1" x14ac:dyDescent="0.3">
      <c r="A29" s="1">
        <v>1992</v>
      </c>
      <c r="B29" s="1">
        <v>4</v>
      </c>
      <c r="C29" s="15">
        <v>2.9352880530803205</v>
      </c>
      <c r="D29" s="10">
        <v>3.9650400000000001</v>
      </c>
      <c r="E29" s="10">
        <v>0.18490000000000001</v>
      </c>
      <c r="F29" s="10">
        <v>-5.9823499999999994</v>
      </c>
      <c r="G29" s="16"/>
      <c r="H29" s="14"/>
      <c r="I29" s="59" t="s">
        <v>58</v>
      </c>
      <c r="J29" s="48">
        <v>240</v>
      </c>
      <c r="K29" s="55"/>
      <c r="L29" s="55"/>
      <c r="M29" s="55"/>
      <c r="N29" s="55"/>
      <c r="O29" s="55"/>
      <c r="P29" s="55"/>
      <c r="Q29" s="55"/>
      <c r="R29" s="56"/>
      <c r="S29" s="14"/>
      <c r="T29" s="14"/>
      <c r="U29" s="14"/>
      <c r="V29" s="14"/>
      <c r="W29" s="14"/>
      <c r="X29" s="14"/>
      <c r="Y29" s="14"/>
      <c r="Z29" s="14"/>
    </row>
    <row r="30" spans="1:26" ht="12.75" customHeight="1" x14ac:dyDescent="0.25">
      <c r="A30" s="1">
        <v>1992</v>
      </c>
      <c r="B30" s="1">
        <v>5</v>
      </c>
      <c r="C30" s="15">
        <v>0.49019098538987116</v>
      </c>
      <c r="D30" s="10">
        <v>0.60312999999999994</v>
      </c>
      <c r="E30" s="10">
        <v>0.18409000000000003</v>
      </c>
      <c r="F30" s="10">
        <v>-1.88571</v>
      </c>
      <c r="G30" s="16"/>
      <c r="H30" s="14"/>
      <c r="I30" s="54"/>
      <c r="J30" s="55"/>
      <c r="K30" s="55"/>
      <c r="L30" s="55"/>
      <c r="M30" s="55"/>
      <c r="N30" s="55"/>
      <c r="O30" s="55"/>
      <c r="P30" s="55"/>
      <c r="Q30" s="55"/>
      <c r="R30" s="56"/>
      <c r="S30" s="14"/>
      <c r="T30" s="14"/>
      <c r="U30" s="14"/>
      <c r="V30" s="14"/>
      <c r="W30" s="14"/>
      <c r="X30" s="14"/>
      <c r="Y30" s="14"/>
      <c r="Z30" s="14"/>
    </row>
    <row r="31" spans="1:26" ht="12.75" customHeight="1" thickBot="1" x14ac:dyDescent="0.3">
      <c r="A31" s="1">
        <v>1992</v>
      </c>
      <c r="B31" s="1">
        <v>6</v>
      </c>
      <c r="C31" s="15">
        <v>-1.4869727047146508</v>
      </c>
      <c r="D31" s="10">
        <v>0.69050999999999996</v>
      </c>
      <c r="E31" s="10">
        <v>-9.2168100000000006</v>
      </c>
      <c r="F31" s="10">
        <v>-10.463640000000002</v>
      </c>
      <c r="G31" s="16"/>
      <c r="H31" s="14"/>
      <c r="I31" s="54" t="s">
        <v>59</v>
      </c>
      <c r="J31" s="55"/>
      <c r="K31" s="55"/>
      <c r="L31" s="55"/>
      <c r="M31" s="55"/>
      <c r="N31" s="55"/>
      <c r="O31" s="55"/>
      <c r="P31" s="55"/>
      <c r="Q31" s="55"/>
      <c r="R31" s="56"/>
      <c r="S31" s="14"/>
      <c r="T31" s="14"/>
      <c r="U31" s="14"/>
      <c r="V31" s="14"/>
      <c r="W31" s="14"/>
      <c r="X31" s="14"/>
      <c r="Y31" s="14"/>
      <c r="Z31" s="14"/>
    </row>
    <row r="32" spans="1:26" ht="12.75" customHeight="1" x14ac:dyDescent="0.25">
      <c r="A32" s="1">
        <v>1992</v>
      </c>
      <c r="B32" s="1">
        <v>7</v>
      </c>
      <c r="C32" s="15">
        <v>4.085355230484744</v>
      </c>
      <c r="D32" s="10">
        <v>8.9196099999999987</v>
      </c>
      <c r="E32" s="10">
        <v>0.21348</v>
      </c>
      <c r="F32" s="10">
        <v>0.92040999999999995</v>
      </c>
      <c r="G32" s="16"/>
      <c r="H32" s="14"/>
      <c r="I32" s="60"/>
      <c r="J32" s="49" t="s">
        <v>64</v>
      </c>
      <c r="K32" s="49" t="s">
        <v>65</v>
      </c>
      <c r="L32" s="49" t="s">
        <v>66</v>
      </c>
      <c r="M32" s="49" t="s">
        <v>67</v>
      </c>
      <c r="N32" s="49" t="s">
        <v>68</v>
      </c>
      <c r="O32" s="55"/>
      <c r="P32" s="55"/>
      <c r="Q32" s="55"/>
      <c r="R32" s="56"/>
      <c r="S32" s="14"/>
      <c r="T32" s="14"/>
      <c r="U32" s="14"/>
      <c r="V32" s="14"/>
      <c r="W32" s="14"/>
      <c r="X32" s="14"/>
      <c r="Y32" s="14"/>
      <c r="Z32" s="14"/>
    </row>
    <row r="33" spans="1:26" ht="12.75" customHeight="1" x14ac:dyDescent="0.25">
      <c r="A33" s="1">
        <v>1992</v>
      </c>
      <c r="B33" s="1">
        <v>8</v>
      </c>
      <c r="C33" s="15">
        <v>-2.0466975348477079</v>
      </c>
      <c r="D33" s="10">
        <v>-4.8481999999999994</v>
      </c>
      <c r="E33" s="10">
        <v>-6.35</v>
      </c>
      <c r="F33" s="10">
        <v>-5.1505099999999997</v>
      </c>
      <c r="G33" s="16"/>
      <c r="H33" s="14"/>
      <c r="I33" s="58" t="s">
        <v>60</v>
      </c>
      <c r="J33" s="47">
        <v>1</v>
      </c>
      <c r="K33" s="47">
        <v>690.58496217059292</v>
      </c>
      <c r="L33" s="47">
        <v>690.58496217059292</v>
      </c>
      <c r="M33" s="47">
        <v>22.376609328694688</v>
      </c>
      <c r="N33" s="47">
        <v>3.8426979159592147E-6</v>
      </c>
      <c r="O33" s="55"/>
      <c r="P33" s="55"/>
      <c r="Q33" s="55"/>
      <c r="R33" s="56"/>
      <c r="S33" s="14"/>
      <c r="T33" s="14"/>
      <c r="U33" s="14"/>
      <c r="V33" s="14"/>
      <c r="W33" s="14"/>
      <c r="X33" s="14"/>
      <c r="Y33" s="14"/>
      <c r="Z33" s="14"/>
    </row>
    <row r="34" spans="1:26" ht="12.75" customHeight="1" x14ac:dyDescent="0.25">
      <c r="A34" s="1">
        <v>1992</v>
      </c>
      <c r="B34" s="1">
        <v>9</v>
      </c>
      <c r="C34" s="15">
        <v>1.1751553869180587</v>
      </c>
      <c r="D34" s="10">
        <v>1.4384599999999998</v>
      </c>
      <c r="E34" s="10">
        <v>-1.44228</v>
      </c>
      <c r="F34" s="10">
        <v>15.964679999999998</v>
      </c>
      <c r="G34" s="16"/>
      <c r="H34" s="14"/>
      <c r="I34" s="58" t="s">
        <v>61</v>
      </c>
      <c r="J34" s="47">
        <v>238</v>
      </c>
      <c r="K34" s="47">
        <v>7345.1352071394822</v>
      </c>
      <c r="L34" s="47">
        <v>30.86191263503984</v>
      </c>
      <c r="M34" s="47"/>
      <c r="N34" s="47"/>
      <c r="O34" s="55"/>
      <c r="P34" s="55"/>
      <c r="Q34" s="55"/>
      <c r="R34" s="56"/>
      <c r="S34" s="14"/>
      <c r="T34" s="14"/>
      <c r="U34" s="14"/>
      <c r="V34" s="14"/>
      <c r="W34" s="14"/>
      <c r="X34" s="14"/>
      <c r="Y34" s="14"/>
      <c r="Z34" s="14"/>
    </row>
    <row r="35" spans="1:26" ht="12.75" customHeight="1" thickBot="1" x14ac:dyDescent="0.3">
      <c r="A35" s="1">
        <v>1992</v>
      </c>
      <c r="B35" s="1">
        <v>10</v>
      </c>
      <c r="C35" s="15">
        <v>0.34552154829468051</v>
      </c>
      <c r="D35" s="10">
        <v>-1.6151500000000001</v>
      </c>
      <c r="E35" s="10">
        <v>-2.1408199999999997</v>
      </c>
      <c r="F35" s="10">
        <v>-2.4048699999999998</v>
      </c>
      <c r="G35" s="16"/>
      <c r="H35" s="14"/>
      <c r="I35" s="59" t="s">
        <v>62</v>
      </c>
      <c r="J35" s="48">
        <v>239</v>
      </c>
      <c r="K35" s="48">
        <v>8035.7201693100751</v>
      </c>
      <c r="L35" s="48"/>
      <c r="M35" s="48"/>
      <c r="N35" s="48"/>
      <c r="O35" s="55"/>
      <c r="P35" s="55"/>
      <c r="Q35" s="55"/>
      <c r="R35" s="56"/>
      <c r="S35" s="14"/>
      <c r="T35" s="14"/>
      <c r="U35" s="14"/>
      <c r="V35" s="14"/>
      <c r="W35" s="14"/>
      <c r="X35" s="14"/>
      <c r="Y35" s="14"/>
      <c r="Z35" s="14"/>
    </row>
    <row r="36" spans="1:26" ht="12.75" customHeight="1" thickBot="1" x14ac:dyDescent="0.3">
      <c r="A36" s="1">
        <v>1992</v>
      </c>
      <c r="B36" s="1">
        <v>11</v>
      </c>
      <c r="C36" s="15">
        <v>3.4049913917048036</v>
      </c>
      <c r="D36" s="10">
        <v>-2.4846199999999996</v>
      </c>
      <c r="E36" s="10">
        <v>-1.8361100000000001</v>
      </c>
      <c r="F36" s="10">
        <v>13.107549999999998</v>
      </c>
      <c r="G36" s="16"/>
      <c r="H36" s="14"/>
      <c r="I36" s="54"/>
      <c r="J36" s="55"/>
      <c r="K36" s="55"/>
      <c r="L36" s="55"/>
      <c r="M36" s="55"/>
      <c r="N36" s="55"/>
      <c r="O36" s="55"/>
      <c r="P36" s="55"/>
      <c r="Q36" s="55"/>
      <c r="R36" s="56"/>
      <c r="S36" s="14"/>
      <c r="T36" s="14"/>
      <c r="U36" s="14"/>
      <c r="V36" s="14"/>
      <c r="W36" s="14"/>
      <c r="X36" s="14"/>
      <c r="Y36" s="14"/>
      <c r="Z36" s="14"/>
    </row>
    <row r="37" spans="1:26" ht="12.75" customHeight="1" x14ac:dyDescent="0.25">
      <c r="A37" s="1">
        <v>1992</v>
      </c>
      <c r="B37" s="1">
        <v>12</v>
      </c>
      <c r="C37" s="15">
        <v>1.2272513335425117</v>
      </c>
      <c r="D37" s="10">
        <v>6.3257000000000003</v>
      </c>
      <c r="E37" s="10">
        <v>14.134879999999999</v>
      </c>
      <c r="F37" s="10">
        <v>-0.43332999999999999</v>
      </c>
      <c r="G37" s="16"/>
      <c r="H37" s="14"/>
      <c r="I37" s="60"/>
      <c r="J37" s="49" t="s">
        <v>69</v>
      </c>
      <c r="K37" s="49" t="s">
        <v>57</v>
      </c>
      <c r="L37" s="49" t="s">
        <v>70</v>
      </c>
      <c r="M37" s="49" t="s">
        <v>71</v>
      </c>
      <c r="N37" s="49" t="s">
        <v>72</v>
      </c>
      <c r="O37" s="49" t="s">
        <v>73</v>
      </c>
      <c r="P37" s="49" t="s">
        <v>74</v>
      </c>
      <c r="Q37" s="49" t="s">
        <v>75</v>
      </c>
      <c r="R37" s="56"/>
      <c r="S37" s="14"/>
      <c r="T37" s="14"/>
      <c r="U37" s="14"/>
      <c r="V37" s="14"/>
      <c r="W37" s="14"/>
      <c r="X37" s="14"/>
      <c r="Y37" s="14"/>
      <c r="Z37" s="14"/>
    </row>
    <row r="38" spans="1:26" ht="12.75" customHeight="1" x14ac:dyDescent="0.25">
      <c r="A38" s="1">
        <v>1993</v>
      </c>
      <c r="B38" s="1">
        <v>1</v>
      </c>
      <c r="C38" s="15">
        <v>0.83614567067951118</v>
      </c>
      <c r="D38" s="10">
        <v>2.1641500000000002</v>
      </c>
      <c r="E38" s="10">
        <v>-12.249530000000002</v>
      </c>
      <c r="F38" s="10">
        <v>-11.443870000000002</v>
      </c>
      <c r="G38" s="16"/>
      <c r="H38" s="14"/>
      <c r="I38" s="58" t="s">
        <v>63</v>
      </c>
      <c r="J38" s="47">
        <v>0.28716058070201089</v>
      </c>
      <c r="K38" s="47">
        <v>0.36400368447470416</v>
      </c>
      <c r="L38" s="47">
        <v>0.78889470889948277</v>
      </c>
      <c r="M38" s="47">
        <v>0.43095868460524478</v>
      </c>
      <c r="N38" s="47">
        <v>-0.42991995439399944</v>
      </c>
      <c r="O38" s="47">
        <v>1.0042411157980213</v>
      </c>
      <c r="P38" s="47">
        <v>-0.42991995439399944</v>
      </c>
      <c r="Q38" s="47">
        <v>1.0042411157980213</v>
      </c>
      <c r="R38" s="56"/>
      <c r="S38" s="14"/>
      <c r="T38" s="14"/>
      <c r="U38" s="14"/>
      <c r="V38" s="14"/>
      <c r="W38" s="14"/>
      <c r="X38" s="14"/>
      <c r="Y38" s="14"/>
      <c r="Z38" s="14"/>
    </row>
    <row r="39" spans="1:26" ht="12.75" customHeight="1" thickBot="1" x14ac:dyDescent="0.3">
      <c r="A39" s="1">
        <v>1993</v>
      </c>
      <c r="B39" s="1">
        <v>2</v>
      </c>
      <c r="C39" s="15">
        <v>1.3627438548763138</v>
      </c>
      <c r="D39" s="10">
        <v>6.8372700000000002</v>
      </c>
      <c r="E39" s="10">
        <v>-1.8730500000000001</v>
      </c>
      <c r="F39" s="10">
        <v>-4.8392999999999997</v>
      </c>
      <c r="G39" s="16"/>
      <c r="H39" s="14"/>
      <c r="I39" s="59" t="s">
        <v>76</v>
      </c>
      <c r="J39" s="48">
        <v>0.39188267070163946</v>
      </c>
      <c r="K39" s="48">
        <v>8.2843591654675322E-2</v>
      </c>
      <c r="L39" s="48">
        <v>4.7303920903762915</v>
      </c>
      <c r="M39" s="48">
        <v>3.8426979159593908E-6</v>
      </c>
      <c r="N39" s="48">
        <v>0.22868232530200863</v>
      </c>
      <c r="O39" s="48">
        <v>0.55508301610127031</v>
      </c>
      <c r="P39" s="48">
        <v>0.22868232530200863</v>
      </c>
      <c r="Q39" s="48">
        <v>0.55508301610127031</v>
      </c>
      <c r="R39" s="56"/>
      <c r="S39" s="14"/>
      <c r="T39" s="14"/>
      <c r="U39" s="14"/>
      <c r="V39" s="14"/>
      <c r="W39" s="14"/>
      <c r="X39" s="14"/>
      <c r="Y39" s="14"/>
      <c r="Z39" s="14"/>
    </row>
    <row r="40" spans="1:26" ht="12.75" customHeight="1" x14ac:dyDescent="0.25">
      <c r="A40" s="1">
        <v>1993</v>
      </c>
      <c r="B40" s="1">
        <v>3</v>
      </c>
      <c r="C40" s="15">
        <v>2.109983756233591</v>
      </c>
      <c r="D40" s="10">
        <v>3.4087700000000005</v>
      </c>
      <c r="E40" s="10">
        <v>1.7181799999999998</v>
      </c>
      <c r="F40" s="10">
        <v>18.407309999999999</v>
      </c>
      <c r="G40" s="16"/>
      <c r="H40" s="14"/>
      <c r="I40" s="54"/>
      <c r="J40" s="55"/>
      <c r="K40" s="55"/>
      <c r="L40" s="55"/>
      <c r="M40" s="55"/>
      <c r="N40" s="55"/>
      <c r="O40" s="55"/>
      <c r="P40" s="55"/>
      <c r="Q40" s="55"/>
      <c r="R40" s="56"/>
      <c r="S40" s="14"/>
      <c r="T40" s="14"/>
      <c r="U40" s="14"/>
      <c r="V40" s="14"/>
      <c r="W40" s="14"/>
      <c r="X40" s="14"/>
      <c r="Y40" s="14"/>
      <c r="Z40" s="14"/>
    </row>
    <row r="41" spans="1:26" ht="12.75" customHeight="1" x14ac:dyDescent="0.25">
      <c r="A41" s="1">
        <v>1993</v>
      </c>
      <c r="B41" s="1">
        <v>4</v>
      </c>
      <c r="C41" s="15">
        <v>-2.417030028642031</v>
      </c>
      <c r="D41" s="10">
        <v>0.57796999999999987</v>
      </c>
      <c r="E41" s="10">
        <v>8.471429999999998</v>
      </c>
      <c r="F41" s="10">
        <v>-0.1</v>
      </c>
      <c r="G41" s="16"/>
      <c r="H41" s="14"/>
      <c r="I41" s="61" t="s">
        <v>78</v>
      </c>
      <c r="J41" s="62"/>
      <c r="K41" s="62"/>
      <c r="L41" s="62"/>
      <c r="M41" s="62"/>
      <c r="N41" s="62"/>
      <c r="O41" s="62"/>
      <c r="P41" s="62"/>
      <c r="Q41" s="62"/>
      <c r="R41" s="56"/>
      <c r="S41" s="14"/>
      <c r="T41" s="14"/>
      <c r="U41" s="14"/>
      <c r="V41" s="14"/>
      <c r="W41" s="14"/>
      <c r="X41" s="14"/>
      <c r="Y41" s="14"/>
      <c r="Z41" s="14"/>
    </row>
    <row r="42" spans="1:26" ht="12.75" customHeight="1" x14ac:dyDescent="0.25">
      <c r="A42" s="1">
        <v>1993</v>
      </c>
      <c r="B42" s="1">
        <v>5</v>
      </c>
      <c r="C42" s="15">
        <v>2.6751100441698483</v>
      </c>
      <c r="D42" s="10">
        <v>-5.5545499999999999</v>
      </c>
      <c r="E42" s="10">
        <v>4.8342100000000006</v>
      </c>
      <c r="F42" s="10">
        <v>4.1193800000000005</v>
      </c>
      <c r="G42" s="16"/>
      <c r="H42" s="14"/>
      <c r="I42" s="54"/>
      <c r="J42" s="55"/>
      <c r="K42" s="55"/>
      <c r="L42" s="55"/>
      <c r="M42" s="55"/>
      <c r="N42" s="55"/>
      <c r="O42" s="55"/>
      <c r="P42" s="55"/>
      <c r="Q42" s="55"/>
      <c r="R42" s="56"/>
      <c r="S42" s="14"/>
      <c r="T42" s="14"/>
      <c r="U42" s="14"/>
      <c r="V42" s="14"/>
      <c r="W42" s="14"/>
      <c r="X42" s="14"/>
      <c r="Y42" s="14"/>
      <c r="Z42" s="14"/>
    </row>
    <row r="43" spans="1:26" ht="12.75" customHeight="1" thickBot="1" x14ac:dyDescent="0.3">
      <c r="A43" s="1">
        <v>1993</v>
      </c>
      <c r="B43" s="1">
        <v>6</v>
      </c>
      <c r="C43" s="15">
        <v>0.29272214924753737</v>
      </c>
      <c r="D43" s="10">
        <v>9.3202899999999982</v>
      </c>
      <c r="E43" s="10">
        <v>-6.7246099999999993</v>
      </c>
      <c r="F43" s="10">
        <v>-2.4488099999999995</v>
      </c>
      <c r="G43" s="16"/>
      <c r="H43" s="14"/>
      <c r="I43" s="54"/>
      <c r="J43" s="55"/>
      <c r="K43" s="55"/>
      <c r="L43" s="55"/>
      <c r="M43" s="55"/>
      <c r="N43" s="55"/>
      <c r="O43" s="55"/>
      <c r="P43" s="55"/>
      <c r="Q43" s="55"/>
      <c r="R43" s="56"/>
      <c r="S43" s="14"/>
      <c r="T43" s="14"/>
      <c r="U43" s="14"/>
      <c r="V43" s="14"/>
      <c r="W43" s="14"/>
      <c r="X43" s="14"/>
      <c r="Y43" s="14"/>
      <c r="Z43" s="14"/>
    </row>
    <row r="44" spans="1:26" ht="12.75" customHeight="1" x14ac:dyDescent="0.25">
      <c r="A44" s="1">
        <v>1993</v>
      </c>
      <c r="B44" s="1">
        <v>7</v>
      </c>
      <c r="C44" s="15">
        <v>-0.40214947694706682</v>
      </c>
      <c r="D44" s="10">
        <v>1.5556299999999998</v>
      </c>
      <c r="E44" s="10">
        <v>6.3189200000000003</v>
      </c>
      <c r="F44" s="10">
        <v>-4.6826699999999999</v>
      </c>
      <c r="G44" s="16"/>
      <c r="H44" s="14"/>
      <c r="I44" s="57" t="s">
        <v>53</v>
      </c>
      <c r="J44" s="50"/>
      <c r="K44" s="55"/>
      <c r="L44" s="55"/>
      <c r="M44" s="55"/>
      <c r="N44" s="55"/>
      <c r="O44" s="55"/>
      <c r="P44" s="55"/>
      <c r="Q44" s="55"/>
      <c r="R44" s="56"/>
      <c r="S44" s="14"/>
      <c r="T44" s="14"/>
      <c r="U44" s="14"/>
      <c r="V44" s="14"/>
      <c r="W44" s="14"/>
      <c r="X44" s="14"/>
      <c r="Y44" s="14"/>
      <c r="Z44" s="14"/>
    </row>
    <row r="45" spans="1:26" ht="12.75" customHeight="1" x14ac:dyDescent="0.25">
      <c r="A45" s="1">
        <v>1993</v>
      </c>
      <c r="B45" s="1">
        <v>8</v>
      </c>
      <c r="C45" s="15">
        <v>3.7942073283824485</v>
      </c>
      <c r="D45" s="10">
        <v>2.4407200000000002</v>
      </c>
      <c r="E45" s="10">
        <v>1.16984</v>
      </c>
      <c r="F45" s="10">
        <v>5.5761200000000004</v>
      </c>
      <c r="G45" s="16"/>
      <c r="H45" s="14"/>
      <c r="I45" s="58" t="s">
        <v>54</v>
      </c>
      <c r="J45" s="47">
        <v>0.44904968358831504</v>
      </c>
      <c r="K45" s="55"/>
      <c r="L45" s="55"/>
      <c r="M45" s="55"/>
      <c r="N45" s="55"/>
      <c r="O45" s="55"/>
      <c r="P45" s="55"/>
      <c r="Q45" s="55"/>
      <c r="R45" s="56"/>
      <c r="S45" s="14"/>
      <c r="T45" s="14"/>
      <c r="U45" s="14"/>
      <c r="V45" s="14"/>
      <c r="W45" s="14"/>
      <c r="X45" s="14"/>
      <c r="Y45" s="14"/>
      <c r="Z45" s="14"/>
    </row>
    <row r="46" spans="1:26" ht="12.75" customHeight="1" x14ac:dyDescent="0.25">
      <c r="A46" s="1">
        <v>1993</v>
      </c>
      <c r="B46" s="1">
        <v>9</v>
      </c>
      <c r="C46" s="15">
        <v>-0.76676893826356229</v>
      </c>
      <c r="D46" s="10">
        <v>-0.74516000000000004</v>
      </c>
      <c r="E46" s="10">
        <v>-3.2545699999999997</v>
      </c>
      <c r="F46" s="10">
        <v>22.70992</v>
      </c>
      <c r="G46" s="16"/>
      <c r="H46" s="14"/>
      <c r="I46" s="58" t="s">
        <v>55</v>
      </c>
      <c r="J46" s="47">
        <v>0.20164561833076583</v>
      </c>
      <c r="K46" s="55"/>
      <c r="L46" s="55"/>
      <c r="M46" s="55"/>
      <c r="N46" s="55"/>
      <c r="O46" s="55"/>
      <c r="P46" s="55"/>
      <c r="Q46" s="55"/>
      <c r="R46" s="56"/>
      <c r="S46" s="14"/>
      <c r="T46" s="14"/>
      <c r="U46" s="14"/>
      <c r="V46" s="14"/>
      <c r="W46" s="14"/>
      <c r="X46" s="14"/>
      <c r="Y46" s="14"/>
      <c r="Z46" s="14"/>
    </row>
    <row r="47" spans="1:26" ht="12.75" customHeight="1" x14ac:dyDescent="0.25">
      <c r="A47" s="1">
        <v>1993</v>
      </c>
      <c r="B47" s="1">
        <v>10</v>
      </c>
      <c r="C47" s="15">
        <v>2.06849981092323</v>
      </c>
      <c r="D47" s="10">
        <v>-0.1</v>
      </c>
      <c r="E47" s="10">
        <v>-2.3801299999999999</v>
      </c>
      <c r="F47" s="10">
        <v>10.373509999999998</v>
      </c>
      <c r="G47" s="16"/>
      <c r="H47" s="14"/>
      <c r="I47" s="58" t="s">
        <v>56</v>
      </c>
      <c r="J47" s="47">
        <v>0.19829118815568503</v>
      </c>
      <c r="K47" s="55"/>
      <c r="L47" s="55"/>
      <c r="M47" s="55"/>
      <c r="N47" s="55"/>
      <c r="O47" s="55"/>
      <c r="P47" s="55"/>
      <c r="Q47" s="55"/>
      <c r="R47" s="56"/>
      <c r="S47" s="14"/>
      <c r="T47" s="14"/>
      <c r="U47" s="14"/>
      <c r="V47" s="14"/>
      <c r="W47" s="14"/>
      <c r="X47" s="14"/>
      <c r="Y47" s="14"/>
      <c r="Z47" s="14"/>
    </row>
    <row r="48" spans="1:26" ht="12.75" customHeight="1" x14ac:dyDescent="0.25">
      <c r="A48" s="1">
        <v>1993</v>
      </c>
      <c r="B48" s="1">
        <v>11</v>
      </c>
      <c r="C48" s="15">
        <v>-0.95321770518527194</v>
      </c>
      <c r="D48" s="10">
        <v>-4.7103899999999994</v>
      </c>
      <c r="E48" s="10">
        <v>3.5666700000000002</v>
      </c>
      <c r="F48" s="10">
        <v>11.520739999999998</v>
      </c>
      <c r="G48" s="16"/>
      <c r="H48" s="14"/>
      <c r="I48" s="58" t="s">
        <v>57</v>
      </c>
      <c r="J48" s="47">
        <v>11.281081280092094</v>
      </c>
      <c r="K48" s="55"/>
      <c r="L48" s="55"/>
      <c r="M48" s="55"/>
      <c r="N48" s="55"/>
      <c r="O48" s="55"/>
      <c r="P48" s="55"/>
      <c r="Q48" s="55"/>
      <c r="R48" s="56"/>
      <c r="S48" s="14"/>
      <c r="T48" s="14"/>
      <c r="U48" s="14"/>
      <c r="V48" s="14"/>
      <c r="W48" s="14"/>
      <c r="X48" s="14"/>
      <c r="Y48" s="14"/>
      <c r="Z48" s="14"/>
    </row>
    <row r="49" spans="1:26" ht="12.75" customHeight="1" thickBot="1" x14ac:dyDescent="0.3">
      <c r="A49" s="1">
        <v>1993</v>
      </c>
      <c r="B49" s="1">
        <v>12</v>
      </c>
      <c r="C49" s="15">
        <v>1.2090899051323989</v>
      </c>
      <c r="D49" s="10">
        <v>2.6681700000000004</v>
      </c>
      <c r="E49" s="10">
        <v>11.874109999999998</v>
      </c>
      <c r="F49" s="10">
        <v>8.7214399999999994</v>
      </c>
      <c r="G49" s="16"/>
      <c r="H49" s="14"/>
      <c r="I49" s="59" t="s">
        <v>58</v>
      </c>
      <c r="J49" s="48">
        <v>240</v>
      </c>
      <c r="K49" s="55"/>
      <c r="L49" s="55"/>
      <c r="M49" s="55"/>
      <c r="N49" s="55"/>
      <c r="O49" s="55"/>
      <c r="P49" s="55"/>
      <c r="Q49" s="55"/>
      <c r="R49" s="56"/>
      <c r="S49" s="14"/>
      <c r="T49" s="14"/>
      <c r="U49" s="14"/>
      <c r="V49" s="14"/>
      <c r="W49" s="14"/>
      <c r="X49" s="14"/>
      <c r="Y49" s="14"/>
      <c r="Z49" s="14"/>
    </row>
    <row r="50" spans="1:26" ht="12.75" customHeight="1" x14ac:dyDescent="0.25">
      <c r="A50" s="1">
        <v>1994</v>
      </c>
      <c r="B50" s="1">
        <v>1</v>
      </c>
      <c r="C50" s="15">
        <v>3.3996712436774157</v>
      </c>
      <c r="D50" s="10">
        <v>-2.7935999999999996</v>
      </c>
      <c r="E50" s="10">
        <v>-0.1</v>
      </c>
      <c r="F50" s="10">
        <v>-3.6353499999999999</v>
      </c>
      <c r="G50" s="16"/>
      <c r="H50" s="14"/>
      <c r="I50" s="54"/>
      <c r="J50" s="55"/>
      <c r="K50" s="55"/>
      <c r="L50" s="55"/>
      <c r="M50" s="55"/>
      <c r="N50" s="55"/>
      <c r="O50" s="55"/>
      <c r="P50" s="55"/>
      <c r="Q50" s="55"/>
      <c r="R50" s="56"/>
      <c r="S50" s="14"/>
      <c r="T50" s="14"/>
      <c r="U50" s="14"/>
      <c r="V50" s="14"/>
      <c r="W50" s="14"/>
      <c r="X50" s="14"/>
      <c r="Y50" s="14"/>
      <c r="Z50" s="14"/>
    </row>
    <row r="51" spans="1:26" ht="12.75" customHeight="1" thickBot="1" x14ac:dyDescent="0.3">
      <c r="A51" s="1">
        <v>1994</v>
      </c>
      <c r="B51" s="1">
        <v>2</v>
      </c>
      <c r="C51" s="15">
        <v>-2.7141249900003328</v>
      </c>
      <c r="D51" s="10">
        <v>-6.7435999999999998</v>
      </c>
      <c r="E51" s="10">
        <v>8.5705199999999984</v>
      </c>
      <c r="F51" s="10">
        <v>-13.189010000000001</v>
      </c>
      <c r="G51" s="16"/>
      <c r="H51" s="14"/>
      <c r="I51" s="54" t="s">
        <v>59</v>
      </c>
      <c r="J51" s="55"/>
      <c r="K51" s="55"/>
      <c r="L51" s="55"/>
      <c r="M51" s="55"/>
      <c r="N51" s="55"/>
      <c r="O51" s="55"/>
      <c r="P51" s="55"/>
      <c r="Q51" s="55"/>
      <c r="R51" s="56"/>
      <c r="S51" s="14"/>
      <c r="T51" s="14"/>
      <c r="U51" s="14"/>
      <c r="V51" s="14"/>
      <c r="W51" s="14"/>
      <c r="X51" s="14"/>
      <c r="Y51" s="14"/>
      <c r="Z51" s="14"/>
    </row>
    <row r="52" spans="1:26" ht="12.75" customHeight="1" x14ac:dyDescent="0.25">
      <c r="A52" s="1">
        <v>1994</v>
      </c>
      <c r="B52" s="1">
        <v>3</v>
      </c>
      <c r="C52" s="15">
        <v>-4.3597230799915287</v>
      </c>
      <c r="D52" s="10">
        <v>-7.2698099999999997</v>
      </c>
      <c r="E52" s="10">
        <v>-4.9128299999999996</v>
      </c>
      <c r="F52" s="10">
        <v>-12.389160000000002</v>
      </c>
      <c r="G52" s="16"/>
      <c r="H52" s="14"/>
      <c r="I52" s="60"/>
      <c r="J52" s="49" t="s">
        <v>64</v>
      </c>
      <c r="K52" s="49" t="s">
        <v>65</v>
      </c>
      <c r="L52" s="49" t="s">
        <v>66</v>
      </c>
      <c r="M52" s="49" t="s">
        <v>67</v>
      </c>
      <c r="N52" s="49" t="s">
        <v>68</v>
      </c>
      <c r="O52" s="55"/>
      <c r="P52" s="55"/>
      <c r="Q52" s="55"/>
      <c r="R52" s="56"/>
      <c r="S52" s="14"/>
      <c r="T52" s="14"/>
      <c r="U52" s="14"/>
      <c r="V52" s="14"/>
      <c r="W52" s="14"/>
      <c r="X52" s="14"/>
      <c r="Y52" s="14"/>
      <c r="Z52" s="14"/>
    </row>
    <row r="53" spans="1:26" ht="12.75" customHeight="1" x14ac:dyDescent="0.25">
      <c r="A53" s="1">
        <v>1994</v>
      </c>
      <c r="B53" s="1">
        <v>4</v>
      </c>
      <c r="C53" s="15">
        <v>1.2823467860840765</v>
      </c>
      <c r="D53" s="10">
        <v>5.5910600000000006</v>
      </c>
      <c r="E53" s="10">
        <v>1.0235999999999998</v>
      </c>
      <c r="F53" s="10">
        <v>-8.7201400000000007</v>
      </c>
      <c r="G53" s="16"/>
      <c r="H53" s="14"/>
      <c r="I53" s="58" t="s">
        <v>60</v>
      </c>
      <c r="J53" s="47">
        <v>1</v>
      </c>
      <c r="K53" s="47">
        <v>7650.1771145130588</v>
      </c>
      <c r="L53" s="47">
        <v>7650.1771145130588</v>
      </c>
      <c r="M53" s="47">
        <v>60.113225736143917</v>
      </c>
      <c r="N53" s="47">
        <v>2.6019442138992587E-13</v>
      </c>
      <c r="O53" s="55"/>
      <c r="P53" s="55"/>
      <c r="Q53" s="55"/>
      <c r="R53" s="56"/>
      <c r="S53" s="14"/>
      <c r="T53" s="14"/>
      <c r="U53" s="14"/>
      <c r="V53" s="14"/>
      <c r="W53" s="14"/>
      <c r="X53" s="14"/>
      <c r="Y53" s="14"/>
      <c r="Z53" s="14"/>
    </row>
    <row r="54" spans="1:26" ht="12.75" customHeight="1" x14ac:dyDescent="0.25">
      <c r="A54" s="1">
        <v>1994</v>
      </c>
      <c r="B54" s="1">
        <v>5</v>
      </c>
      <c r="C54" s="15">
        <v>1.6410675066466318</v>
      </c>
      <c r="D54" s="10">
        <v>-9.4076900000000006</v>
      </c>
      <c r="E54" s="10">
        <v>3.5111100000000004</v>
      </c>
      <c r="F54" s="10">
        <v>12.730109999999998</v>
      </c>
      <c r="G54" s="16"/>
      <c r="H54" s="14"/>
      <c r="I54" s="58" t="s">
        <v>61</v>
      </c>
      <c r="J54" s="47">
        <v>238</v>
      </c>
      <c r="K54" s="47">
        <v>30288.54517383454</v>
      </c>
      <c r="L54" s="47">
        <v>127.26279484804428</v>
      </c>
      <c r="M54" s="47"/>
      <c r="N54" s="47"/>
      <c r="O54" s="55"/>
      <c r="P54" s="55"/>
      <c r="Q54" s="55"/>
      <c r="R54" s="56"/>
      <c r="S54" s="14"/>
      <c r="T54" s="14"/>
      <c r="U54" s="14"/>
      <c r="V54" s="14"/>
      <c r="W54" s="14"/>
      <c r="X54" s="14"/>
      <c r="Y54" s="14"/>
      <c r="Z54" s="14"/>
    </row>
    <row r="55" spans="1:26" ht="12.75" customHeight="1" thickBot="1" x14ac:dyDescent="0.3">
      <c r="A55" s="1">
        <v>1994</v>
      </c>
      <c r="B55" s="1">
        <v>6</v>
      </c>
      <c r="C55" s="15">
        <v>-2.4511772545535271</v>
      </c>
      <c r="D55" s="10">
        <v>-2.2644999999999995</v>
      </c>
      <c r="E55" s="10">
        <v>-0.36953999999999998</v>
      </c>
      <c r="F55" s="10">
        <v>-7.39147</v>
      </c>
      <c r="G55" s="16"/>
      <c r="H55" s="14"/>
      <c r="I55" s="59" t="s">
        <v>62</v>
      </c>
      <c r="J55" s="48">
        <v>239</v>
      </c>
      <c r="K55" s="48">
        <v>37938.722288347599</v>
      </c>
      <c r="L55" s="48"/>
      <c r="M55" s="48"/>
      <c r="N55" s="48"/>
      <c r="O55" s="55"/>
      <c r="P55" s="55"/>
      <c r="Q55" s="55"/>
      <c r="R55" s="56"/>
      <c r="S55" s="14"/>
      <c r="T55" s="14"/>
      <c r="U55" s="14"/>
      <c r="V55" s="14"/>
      <c r="W55" s="14"/>
      <c r="X55" s="14"/>
      <c r="Y55" s="14"/>
      <c r="Z55" s="14"/>
    </row>
    <row r="56" spans="1:26" ht="12.75" customHeight="1" thickBot="1" x14ac:dyDescent="0.3">
      <c r="A56" s="1">
        <v>1994</v>
      </c>
      <c r="B56" s="1">
        <v>7</v>
      </c>
      <c r="C56" s="15">
        <v>3.2836875815183575</v>
      </c>
      <c r="D56" s="10">
        <v>7.8646000000000003</v>
      </c>
      <c r="E56" s="10">
        <v>-3.6135099999999998</v>
      </c>
      <c r="F56" s="10">
        <v>8.2339099999999981</v>
      </c>
      <c r="G56" s="16"/>
      <c r="H56" s="14"/>
      <c r="I56" s="54"/>
      <c r="J56" s="55"/>
      <c r="K56" s="55"/>
      <c r="L56" s="55"/>
      <c r="M56" s="55"/>
      <c r="N56" s="55"/>
      <c r="O56" s="55"/>
      <c r="P56" s="55"/>
      <c r="Q56" s="55"/>
      <c r="R56" s="56"/>
      <c r="S56" s="14"/>
      <c r="T56" s="14"/>
      <c r="U56" s="14"/>
      <c r="V56" s="14"/>
      <c r="W56" s="14"/>
      <c r="X56" s="14"/>
      <c r="Y56" s="14"/>
      <c r="Z56" s="14"/>
    </row>
    <row r="57" spans="1:26" ht="12.75" customHeight="1" x14ac:dyDescent="0.25">
      <c r="A57" s="1">
        <v>1994</v>
      </c>
      <c r="B57" s="1">
        <v>8</v>
      </c>
      <c r="C57" s="15">
        <v>4.0999537904201411</v>
      </c>
      <c r="D57" s="10">
        <v>5.1459000000000001</v>
      </c>
      <c r="E57" s="10">
        <v>2.4210100000000003</v>
      </c>
      <c r="F57" s="10">
        <v>7.5917300000000001</v>
      </c>
      <c r="G57" s="16"/>
      <c r="H57" s="14"/>
      <c r="I57" s="60"/>
      <c r="J57" s="49" t="s">
        <v>69</v>
      </c>
      <c r="K57" s="49" t="s">
        <v>57</v>
      </c>
      <c r="L57" s="49" t="s">
        <v>70</v>
      </c>
      <c r="M57" s="49" t="s">
        <v>71</v>
      </c>
      <c r="N57" s="49" t="s">
        <v>72</v>
      </c>
      <c r="O57" s="49" t="s">
        <v>73</v>
      </c>
      <c r="P57" s="49" t="s">
        <v>74</v>
      </c>
      <c r="Q57" s="49" t="s">
        <v>75</v>
      </c>
      <c r="R57" s="56"/>
      <c r="S57" s="14"/>
      <c r="T57" s="14"/>
      <c r="U57" s="14"/>
      <c r="V57" s="14"/>
      <c r="W57" s="14"/>
      <c r="X57" s="14"/>
      <c r="Y57" s="14"/>
      <c r="Z57" s="14"/>
    </row>
    <row r="58" spans="1:26" ht="12.75" customHeight="1" x14ac:dyDescent="0.25">
      <c r="A58" s="1">
        <v>1994</v>
      </c>
      <c r="B58" s="1">
        <v>9</v>
      </c>
      <c r="C58" s="15">
        <v>-2.4453262129211062</v>
      </c>
      <c r="D58" s="10">
        <v>-0.49682999999999999</v>
      </c>
      <c r="E58" s="10">
        <v>-5.0450599999999994</v>
      </c>
      <c r="F58" s="10">
        <v>7.1049700000000007</v>
      </c>
      <c r="G58" s="16"/>
      <c r="H58" s="14"/>
      <c r="I58" s="58" t="s">
        <v>63</v>
      </c>
      <c r="J58" s="47">
        <v>9.4613818047824205E-2</v>
      </c>
      <c r="K58" s="47">
        <v>0.73917128830870482</v>
      </c>
      <c r="L58" s="47">
        <v>0.12799985543852729</v>
      </c>
      <c r="M58" s="47">
        <v>0.89825717625337886</v>
      </c>
      <c r="N58" s="47">
        <v>-1.3615399670791724</v>
      </c>
      <c r="O58" s="47">
        <v>1.5507676031748208</v>
      </c>
      <c r="P58" s="47">
        <v>-1.3615399670791724</v>
      </c>
      <c r="Q58" s="47">
        <v>1.5507676031748208</v>
      </c>
      <c r="R58" s="56"/>
      <c r="S58" s="14"/>
      <c r="T58" s="14"/>
      <c r="U58" s="14"/>
      <c r="V58" s="14"/>
      <c r="W58" s="14"/>
      <c r="X58" s="14"/>
      <c r="Y58" s="14"/>
      <c r="Z58" s="14"/>
    </row>
    <row r="59" spans="1:26" ht="12.75" customHeight="1" thickBot="1" x14ac:dyDescent="0.3">
      <c r="A59" s="1">
        <v>1994</v>
      </c>
      <c r="B59" s="1">
        <v>10</v>
      </c>
      <c r="C59" s="15">
        <v>2.2466329162288634</v>
      </c>
      <c r="D59" s="10">
        <v>1.8920299999999999</v>
      </c>
      <c r="E59" s="10">
        <v>1.3473999999999999</v>
      </c>
      <c r="F59" s="10">
        <v>2.8116300000000005</v>
      </c>
      <c r="G59" s="16"/>
      <c r="H59" s="14"/>
      <c r="I59" s="59" t="s">
        <v>76</v>
      </c>
      <c r="J59" s="48">
        <v>1.3043172725900229</v>
      </c>
      <c r="K59" s="48">
        <v>0.16822797950486704</v>
      </c>
      <c r="L59" s="48">
        <v>7.753271937456085</v>
      </c>
      <c r="M59" s="48">
        <v>2.6019442138990906E-13</v>
      </c>
      <c r="N59" s="48">
        <v>0.97291126021529406</v>
      </c>
      <c r="O59" s="48">
        <v>1.6357232849647518</v>
      </c>
      <c r="P59" s="48">
        <v>0.97291126021529406</v>
      </c>
      <c r="Q59" s="48">
        <v>1.6357232849647518</v>
      </c>
      <c r="R59" s="56"/>
      <c r="S59" s="14"/>
      <c r="T59" s="14"/>
      <c r="U59" s="14"/>
      <c r="V59" s="14"/>
      <c r="W59" s="14"/>
      <c r="X59" s="14"/>
      <c r="Y59" s="14"/>
      <c r="Z59" s="14"/>
    </row>
    <row r="60" spans="1:26" ht="12.75" customHeight="1" x14ac:dyDescent="0.25">
      <c r="A60" s="1">
        <v>1994</v>
      </c>
      <c r="B60" s="1">
        <v>11</v>
      </c>
      <c r="C60" s="15">
        <v>-3.6419009700525473</v>
      </c>
      <c r="D60" s="10">
        <v>4.9000000000000004</v>
      </c>
      <c r="E60" s="10">
        <v>2.7489400000000002</v>
      </c>
      <c r="F60" s="10">
        <v>3.5698900000000005</v>
      </c>
      <c r="G60" s="16"/>
      <c r="H60" s="14"/>
      <c r="I60" s="54"/>
      <c r="J60" s="55"/>
      <c r="K60" s="55"/>
      <c r="L60" s="55"/>
      <c r="M60" s="55"/>
      <c r="N60" s="55"/>
      <c r="O60" s="55"/>
      <c r="P60" s="55"/>
      <c r="Q60" s="55"/>
      <c r="R60" s="56"/>
      <c r="S60" s="14"/>
      <c r="T60" s="14"/>
      <c r="U60" s="14"/>
      <c r="V60" s="14"/>
      <c r="W60" s="14"/>
      <c r="X60" s="14"/>
      <c r="Y60" s="14"/>
      <c r="Z60" s="14"/>
    </row>
    <row r="61" spans="1:26" ht="12.75" customHeight="1" x14ac:dyDescent="0.25">
      <c r="A61" s="1">
        <v>1994</v>
      </c>
      <c r="B61" s="1">
        <v>12</v>
      </c>
      <c r="C61" s="15">
        <v>1.4833682948756532</v>
      </c>
      <c r="D61" s="10">
        <v>-0.47878999999999999</v>
      </c>
      <c r="E61" s="10">
        <v>4.6330400000000003</v>
      </c>
      <c r="F61" s="10">
        <v>9.2818099999999983</v>
      </c>
      <c r="G61" s="16"/>
      <c r="H61" s="14"/>
      <c r="I61" s="63"/>
      <c r="J61" s="64"/>
      <c r="K61" s="64"/>
      <c r="L61" s="64"/>
      <c r="M61" s="64"/>
      <c r="N61" s="64"/>
      <c r="O61" s="64"/>
      <c r="P61" s="64"/>
      <c r="Q61" s="64"/>
      <c r="R61" s="65"/>
      <c r="S61" s="14"/>
      <c r="T61" s="14"/>
      <c r="U61" s="14"/>
      <c r="V61" s="14"/>
      <c r="W61" s="14"/>
      <c r="X61" s="14"/>
      <c r="Y61" s="14"/>
      <c r="Z61" s="14"/>
    </row>
    <row r="62" spans="1:26" ht="12.75" customHeight="1" x14ac:dyDescent="0.25">
      <c r="A62" s="1">
        <v>1995</v>
      </c>
      <c r="B62" s="1">
        <v>1</v>
      </c>
      <c r="C62" s="15">
        <v>2.5933420762369597</v>
      </c>
      <c r="D62" s="10">
        <v>6.36388</v>
      </c>
      <c r="E62" s="10">
        <v>-5.4191499999999992</v>
      </c>
      <c r="F62" s="10">
        <v>-11.596000000000002</v>
      </c>
      <c r="G62" s="16"/>
      <c r="H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2.75" customHeight="1" x14ac:dyDescent="0.25">
      <c r="A63" s="1">
        <v>1995</v>
      </c>
      <c r="B63" s="1">
        <v>2</v>
      </c>
      <c r="C63" s="15">
        <v>3.8971615295402495</v>
      </c>
      <c r="D63" s="10">
        <v>-1.6</v>
      </c>
      <c r="E63" s="10">
        <v>4.1157300000000001</v>
      </c>
      <c r="F63" s="10">
        <v>1.02989</v>
      </c>
      <c r="G63" s="16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2.75" customHeight="1" x14ac:dyDescent="0.25">
      <c r="A64" s="1">
        <v>1995</v>
      </c>
      <c r="B64" s="1">
        <v>3</v>
      </c>
      <c r="C64" s="15">
        <v>2.9506903738757861</v>
      </c>
      <c r="D64" s="10">
        <v>-6.3730599999999997</v>
      </c>
      <c r="E64" s="10">
        <v>16.428639999999998</v>
      </c>
      <c r="F64" s="10">
        <v>7.0058300000000004</v>
      </c>
      <c r="G64" s="16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2.75" customHeight="1" x14ac:dyDescent="0.25">
      <c r="A65" s="1">
        <v>1995</v>
      </c>
      <c r="B65" s="1">
        <v>4</v>
      </c>
      <c r="C65" s="15">
        <v>2.9446308724832226</v>
      </c>
      <c r="D65" s="10">
        <v>3.0496100000000004</v>
      </c>
      <c r="E65" s="10">
        <v>2.2255800000000003</v>
      </c>
      <c r="F65" s="10">
        <v>3.5605800000000003</v>
      </c>
      <c r="G65" s="16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2.75" customHeight="1" x14ac:dyDescent="0.25">
      <c r="A66" s="1">
        <v>1995</v>
      </c>
      <c r="B66" s="1">
        <v>5</v>
      </c>
      <c r="C66" s="15">
        <v>3.996844838959146</v>
      </c>
      <c r="D66" s="10">
        <v>6.3122100000000003</v>
      </c>
      <c r="E66" s="10">
        <v>7.4018200000000007</v>
      </c>
      <c r="F66" s="10">
        <v>-5.6515199999999997</v>
      </c>
      <c r="G66" s="16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2.75" customHeight="1" x14ac:dyDescent="0.25">
      <c r="A67" s="1">
        <v>1995</v>
      </c>
      <c r="B67" s="1">
        <v>6</v>
      </c>
      <c r="C67" s="15">
        <v>2.3227378440675572</v>
      </c>
      <c r="D67" s="10">
        <v>2.4547400000000001</v>
      </c>
      <c r="E67" s="10">
        <v>6.2693200000000004</v>
      </c>
      <c r="F67" s="10">
        <v>11.244969999999999</v>
      </c>
      <c r="G67" s="16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2.75" customHeight="1" x14ac:dyDescent="0.25">
      <c r="A68" s="1">
        <v>1995</v>
      </c>
      <c r="B68" s="1">
        <v>7</v>
      </c>
      <c r="C68" s="15">
        <v>3.3162974105108267</v>
      </c>
      <c r="D68" s="10">
        <v>-1.8793600000000001</v>
      </c>
      <c r="E68" s="10">
        <v>6.8843200000000007</v>
      </c>
      <c r="F68" s="10">
        <v>14.357549999999998</v>
      </c>
      <c r="G68" s="16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2.75" customHeight="1" x14ac:dyDescent="0.25">
      <c r="A69" s="1">
        <v>1995</v>
      </c>
      <c r="B69" s="1">
        <v>8</v>
      </c>
      <c r="C69" s="15">
        <v>0.25132234433258294</v>
      </c>
      <c r="D69" s="10">
        <v>0.55216999999999994</v>
      </c>
      <c r="E69" s="10">
        <v>-4.2044799999999993</v>
      </c>
      <c r="F69" s="10">
        <v>4.5348700000000006</v>
      </c>
      <c r="G69" s="16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2.75" customHeight="1" x14ac:dyDescent="0.25">
      <c r="A70" s="1">
        <v>1995</v>
      </c>
      <c r="B70" s="1">
        <v>9</v>
      </c>
      <c r="C70" s="15">
        <v>4.2201962849549801</v>
      </c>
      <c r="D70" s="10">
        <v>6.4934100000000008</v>
      </c>
      <c r="E70" s="10">
        <v>6.5406300000000002</v>
      </c>
      <c r="F70" s="10">
        <v>-2.0250599999999999</v>
      </c>
      <c r="G70" s="16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2.75" customHeight="1" x14ac:dyDescent="0.25">
      <c r="A71" s="1">
        <v>1995</v>
      </c>
      <c r="B71" s="1">
        <v>10</v>
      </c>
      <c r="C71" s="15">
        <v>-0.35739814152967453</v>
      </c>
      <c r="D71" s="10">
        <v>4.7110000000000003</v>
      </c>
      <c r="E71" s="10">
        <v>-4.1292999999999997</v>
      </c>
      <c r="F71" s="10">
        <v>-18.825310000000002</v>
      </c>
      <c r="G71" s="16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2.75" customHeight="1" x14ac:dyDescent="0.25">
      <c r="A72" s="1">
        <v>1995</v>
      </c>
      <c r="B72" s="1">
        <v>11</v>
      </c>
      <c r="C72" s="15">
        <v>4.3898677585586077</v>
      </c>
      <c r="D72" s="10">
        <v>0.49015999999999998</v>
      </c>
      <c r="E72" s="10">
        <v>11.542749999999998</v>
      </c>
      <c r="F72" s="10">
        <v>-3.6401799999999995</v>
      </c>
      <c r="G72" s="16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2.75" customHeight="1" x14ac:dyDescent="0.25">
      <c r="A73" s="1">
        <v>1995</v>
      </c>
      <c r="B73" s="1">
        <v>12</v>
      </c>
      <c r="C73" s="15">
        <v>1.92620007875699</v>
      </c>
      <c r="D73" s="10">
        <v>7.1847700000000003</v>
      </c>
      <c r="E73" s="10">
        <v>7.4470700000000001</v>
      </c>
      <c r="F73" s="10">
        <v>-12.546460000000002</v>
      </c>
      <c r="G73" s="16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2.75" customHeight="1" x14ac:dyDescent="0.25">
      <c r="A74" s="1">
        <v>1996</v>
      </c>
      <c r="B74" s="1">
        <v>1</v>
      </c>
      <c r="C74" s="15">
        <v>3.4036073844568859</v>
      </c>
      <c r="D74" s="10">
        <v>9.159259999999998</v>
      </c>
      <c r="E74" s="10">
        <v>-1.2176900000000002</v>
      </c>
      <c r="F74" s="10">
        <v>-7.9265099999999995</v>
      </c>
      <c r="G74" s="16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2.75" customHeight="1" x14ac:dyDescent="0.25">
      <c r="A75" s="1">
        <v>1996</v>
      </c>
      <c r="B75" s="1">
        <v>2</v>
      </c>
      <c r="C75" s="15">
        <v>0.92710622710621138</v>
      </c>
      <c r="D75" s="10">
        <v>-1.85141</v>
      </c>
      <c r="E75" s="10">
        <v>4.9012900000000004</v>
      </c>
      <c r="F75" s="10">
        <v>14.278329999999999</v>
      </c>
      <c r="G75" s="16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2.75" customHeight="1" x14ac:dyDescent="0.25">
      <c r="A76" s="1">
        <v>1996</v>
      </c>
      <c r="B76" s="1">
        <v>3</v>
      </c>
      <c r="C76" s="15">
        <v>0.96262610498758505</v>
      </c>
      <c r="D76" s="10">
        <v>-2.7239099999999996</v>
      </c>
      <c r="E76" s="10">
        <v>6.6795800000000005</v>
      </c>
      <c r="F76" s="10">
        <v>6.0711500000000003</v>
      </c>
      <c r="G76" s="16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2.75" customHeight="1" x14ac:dyDescent="0.25">
      <c r="A77" s="1">
        <v>1996</v>
      </c>
      <c r="B77" s="1">
        <v>4</v>
      </c>
      <c r="C77" s="15">
        <v>1.4743274818764807</v>
      </c>
      <c r="D77" s="10">
        <v>-2.7946099999999996</v>
      </c>
      <c r="E77" s="10">
        <v>-5.2947499999999996</v>
      </c>
      <c r="F77" s="10">
        <v>12.059469999999999</v>
      </c>
      <c r="G77" s="16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2.75" customHeight="1" x14ac:dyDescent="0.25">
      <c r="A78" s="1">
        <v>1996</v>
      </c>
      <c r="B78" s="1">
        <v>5</v>
      </c>
      <c r="C78" s="15">
        <v>2.5789569394488288</v>
      </c>
      <c r="D78" s="10">
        <v>0.14615</v>
      </c>
      <c r="E78" s="10">
        <v>4.0448500000000003</v>
      </c>
      <c r="F78" s="10">
        <v>3.9943800000000005</v>
      </c>
      <c r="G78" s="16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2.75" customHeight="1" x14ac:dyDescent="0.25">
      <c r="A79" s="1">
        <v>1996</v>
      </c>
      <c r="B79" s="1">
        <v>6</v>
      </c>
      <c r="C79" s="15">
        <v>0.38149221705228165</v>
      </c>
      <c r="D79" s="10">
        <v>6.1305300000000003</v>
      </c>
      <c r="E79" s="10">
        <v>2.1005900000000004</v>
      </c>
      <c r="F79" s="10">
        <v>-11.996300000000002</v>
      </c>
      <c r="G79" s="16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2.75" customHeight="1" x14ac:dyDescent="0.25">
      <c r="A80" s="1">
        <v>1996</v>
      </c>
      <c r="B80" s="1">
        <v>7</v>
      </c>
      <c r="C80" s="15">
        <v>-4.4180787332226412</v>
      </c>
      <c r="D80" s="10">
        <v>-2.7392999999999996</v>
      </c>
      <c r="E80" s="10">
        <v>1.4770299999999998</v>
      </c>
      <c r="F80" s="10">
        <v>-10.915600000000001</v>
      </c>
      <c r="G80" s="16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2.75" customHeight="1" x14ac:dyDescent="0.25">
      <c r="A81" s="1">
        <v>1996</v>
      </c>
      <c r="B81" s="1">
        <v>8</v>
      </c>
      <c r="C81" s="15">
        <v>2.1094636716809667</v>
      </c>
      <c r="D81" s="10">
        <v>1.34578</v>
      </c>
      <c r="E81" s="10">
        <v>2.4762700000000004</v>
      </c>
      <c r="F81" s="10">
        <v>4.3400300000000005</v>
      </c>
      <c r="G81" s="16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2.75" customHeight="1" x14ac:dyDescent="0.25">
      <c r="A82" s="1">
        <v>1996</v>
      </c>
      <c r="B82" s="1">
        <v>9</v>
      </c>
      <c r="C82" s="15">
        <v>5.6284838743032362</v>
      </c>
      <c r="D82" s="10">
        <v>-2.2084299999999994</v>
      </c>
      <c r="E82" s="10">
        <v>4.31989</v>
      </c>
      <c r="F82" s="10">
        <v>-8.1493100000000016</v>
      </c>
      <c r="G82" s="16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2.75" customHeight="1" x14ac:dyDescent="0.25">
      <c r="A83" s="1">
        <v>1996</v>
      </c>
      <c r="B83" s="1">
        <v>10</v>
      </c>
      <c r="C83" s="15">
        <v>2.7580575906096527</v>
      </c>
      <c r="D83" s="10">
        <v>2.3615400000000002</v>
      </c>
      <c r="E83" s="10">
        <v>0.82697999999999994</v>
      </c>
      <c r="F83" s="10">
        <v>-6.9060199999999998</v>
      </c>
      <c r="G83" s="16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2.75" customHeight="1" x14ac:dyDescent="0.25">
      <c r="A84" s="1">
        <v>1996</v>
      </c>
      <c r="B84" s="1">
        <v>11</v>
      </c>
      <c r="C84" s="15">
        <v>7.5586732484627994</v>
      </c>
      <c r="D84" s="10">
        <v>1.04114</v>
      </c>
      <c r="E84" s="10">
        <v>4.3875000000000002</v>
      </c>
      <c r="F84" s="10">
        <v>12.188719999999998</v>
      </c>
      <c r="G84" s="16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2.75" customHeight="1" x14ac:dyDescent="0.25">
      <c r="A85" s="1">
        <v>1996</v>
      </c>
      <c r="B85" s="1">
        <v>12</v>
      </c>
      <c r="C85" s="15">
        <v>-1.9814127441665663</v>
      </c>
      <c r="D85" s="10">
        <v>-1.0036100000000001</v>
      </c>
      <c r="E85" s="10">
        <v>7.0687300000000004</v>
      </c>
      <c r="F85" s="10">
        <v>4.5104300000000004</v>
      </c>
      <c r="G85" s="16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2.75" customHeight="1" x14ac:dyDescent="0.25">
      <c r="A86" s="1">
        <v>1997</v>
      </c>
      <c r="B86" s="1">
        <v>1</v>
      </c>
      <c r="C86" s="15">
        <v>6.2474779160424543</v>
      </c>
      <c r="D86" s="10">
        <v>0.50789999999999991</v>
      </c>
      <c r="E86" s="10">
        <v>0.48779</v>
      </c>
      <c r="F86" s="10">
        <v>2.7454500000000004</v>
      </c>
      <c r="G86" s="16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2.75" customHeight="1" x14ac:dyDescent="0.25">
      <c r="A87" s="1">
        <v>1997</v>
      </c>
      <c r="B87" s="1">
        <v>2</v>
      </c>
      <c r="C87" s="15">
        <v>0.78377101129656346</v>
      </c>
      <c r="D87" s="10">
        <v>2.2565000000000004</v>
      </c>
      <c r="E87" s="10">
        <v>-4.8570199999999994</v>
      </c>
      <c r="F87" s="10">
        <v>11.223259999999998</v>
      </c>
      <c r="G87" s="16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2.75" customHeight="1" x14ac:dyDescent="0.25">
      <c r="A88" s="1">
        <v>1997</v>
      </c>
      <c r="B88" s="1">
        <v>3</v>
      </c>
      <c r="C88" s="15">
        <v>-4.1088324218896188</v>
      </c>
      <c r="D88" s="10">
        <v>-1.2976100000000002</v>
      </c>
      <c r="E88" s="10">
        <v>-3.1702699999999995</v>
      </c>
      <c r="F88" s="10">
        <v>-0.19528000000000001</v>
      </c>
      <c r="G88" s="16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2.75" customHeight="1" x14ac:dyDescent="0.25">
      <c r="A89" s="1">
        <v>1997</v>
      </c>
      <c r="B89" s="1">
        <v>4</v>
      </c>
      <c r="C89" s="15">
        <v>5.9698880602238935</v>
      </c>
      <c r="D89" s="10">
        <v>-1.91818</v>
      </c>
      <c r="E89" s="10">
        <v>-0.1</v>
      </c>
      <c r="F89" s="10">
        <v>4.6318900000000003</v>
      </c>
      <c r="G89" s="16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2.75" customHeight="1" x14ac:dyDescent="0.25">
      <c r="A90" s="1">
        <v>1997</v>
      </c>
      <c r="B90" s="1">
        <v>5</v>
      </c>
      <c r="C90" s="15">
        <v>6.0883211396422166</v>
      </c>
      <c r="D90" s="10">
        <v>1.6901199999999998</v>
      </c>
      <c r="E90" s="10">
        <v>7.0279400000000001</v>
      </c>
      <c r="F90" s="10">
        <v>2.7571400000000001</v>
      </c>
      <c r="G90" s="16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2.75" customHeight="1" x14ac:dyDescent="0.25">
      <c r="A91" s="1">
        <v>1997</v>
      </c>
      <c r="B91" s="1">
        <v>6</v>
      </c>
      <c r="C91" s="15">
        <v>4.4801769050336171</v>
      </c>
      <c r="D91" s="10">
        <v>3.1320000000000006</v>
      </c>
      <c r="E91" s="10">
        <v>0.61173999999999995</v>
      </c>
      <c r="F91" s="10">
        <v>3.9740700000000002</v>
      </c>
      <c r="G91" s="16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2.75" customHeight="1" x14ac:dyDescent="0.25">
      <c r="A92" s="1">
        <v>1997</v>
      </c>
      <c r="B92" s="1">
        <v>7</v>
      </c>
      <c r="C92" s="15">
        <v>7.9567609353423219</v>
      </c>
      <c r="D92" s="10">
        <v>6.6051400000000005</v>
      </c>
      <c r="E92" s="10">
        <v>10.500609999999998</v>
      </c>
      <c r="F92" s="10">
        <v>6.0428600000000001</v>
      </c>
      <c r="G92" s="16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2.75" customHeight="1" x14ac:dyDescent="0.25">
      <c r="A93" s="1">
        <v>1997</v>
      </c>
      <c r="B93" s="1">
        <v>8</v>
      </c>
      <c r="C93" s="15">
        <v>-5.6021671155203512</v>
      </c>
      <c r="D93" s="10">
        <v>-1.1324000000000001</v>
      </c>
      <c r="E93" s="10">
        <v>-6.99749</v>
      </c>
      <c r="F93" s="10">
        <v>11.568909999999999</v>
      </c>
      <c r="G93" s="16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2.75" customHeight="1" x14ac:dyDescent="0.25">
      <c r="A94" s="1">
        <v>1997</v>
      </c>
      <c r="B94" s="1">
        <v>9</v>
      </c>
      <c r="C94" s="15">
        <v>5.476659702073583</v>
      </c>
      <c r="D94" s="10">
        <v>4.0475900000000005</v>
      </c>
      <c r="E94" s="10">
        <v>-0.21376000000000001</v>
      </c>
      <c r="F94" s="10">
        <v>1.5210699999999999</v>
      </c>
      <c r="G94" s="16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2.75" customHeight="1" x14ac:dyDescent="0.25">
      <c r="A95" s="1">
        <v>1997</v>
      </c>
      <c r="B95" s="1">
        <v>10</v>
      </c>
      <c r="C95" s="15">
        <v>-3.3397145330569811</v>
      </c>
      <c r="D95" s="10">
        <v>3.7461500000000005</v>
      </c>
      <c r="E95" s="10">
        <v>-11.926300000000001</v>
      </c>
      <c r="F95" s="10">
        <v>2.1304200000000004</v>
      </c>
      <c r="G95" s="16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2.75" customHeight="1" x14ac:dyDescent="0.25">
      <c r="A96" s="1">
        <v>1997</v>
      </c>
      <c r="B96" s="1">
        <v>11</v>
      </c>
      <c r="C96" s="15">
        <v>4.6292313075171565</v>
      </c>
      <c r="D96" s="10">
        <v>6.06508</v>
      </c>
      <c r="E96" s="10">
        <v>10.868749999999999</v>
      </c>
      <c r="F96" s="10">
        <v>25.353809999999999</v>
      </c>
      <c r="G96" s="16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2.75" customHeight="1" x14ac:dyDescent="0.25">
      <c r="A97" s="1">
        <v>1997</v>
      </c>
      <c r="B97" s="1">
        <v>12</v>
      </c>
      <c r="C97" s="15">
        <v>1.71737312161091</v>
      </c>
      <c r="D97" s="10">
        <v>4.0603600000000002</v>
      </c>
      <c r="E97" s="10">
        <v>-7.9814099999999994</v>
      </c>
      <c r="F97" s="10">
        <v>-10.446430000000001</v>
      </c>
      <c r="G97" s="16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2.75" customHeight="1" x14ac:dyDescent="0.25">
      <c r="A98" s="1">
        <v>1998</v>
      </c>
      <c r="B98" s="1">
        <v>1</v>
      </c>
      <c r="C98" s="15">
        <v>1.1060800526015546</v>
      </c>
      <c r="D98" s="10">
        <v>-4.5784499999999992</v>
      </c>
      <c r="E98" s="10">
        <v>-2.7829899999999999</v>
      </c>
      <c r="F98" s="10">
        <v>0.38232000000000005</v>
      </c>
      <c r="G98" s="16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2.75" customHeight="1" x14ac:dyDescent="0.25">
      <c r="A99" s="1">
        <v>1998</v>
      </c>
      <c r="B99" s="1">
        <v>2</v>
      </c>
      <c r="C99" s="15">
        <v>7.2125295178828486</v>
      </c>
      <c r="D99" s="10">
        <v>-1.5458700000000001</v>
      </c>
      <c r="E99" s="10">
        <v>14.104719999999999</v>
      </c>
      <c r="F99" s="10">
        <v>14.738709999999999</v>
      </c>
      <c r="G99" s="16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2.75" customHeight="1" x14ac:dyDescent="0.25">
      <c r="A100" s="1">
        <v>1998</v>
      </c>
      <c r="B100" s="1">
        <v>3</v>
      </c>
      <c r="C100" s="15">
        <v>5.1208146027313051</v>
      </c>
      <c r="D100" s="10">
        <v>4.5875000000000004</v>
      </c>
      <c r="E100" s="10">
        <v>-4.0170500000000002</v>
      </c>
      <c r="F100" s="10">
        <v>5.7427000000000001</v>
      </c>
      <c r="G100" s="16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2.75" customHeight="1" x14ac:dyDescent="0.25">
      <c r="A101" s="1">
        <v>1998</v>
      </c>
      <c r="B101" s="1">
        <v>4</v>
      </c>
      <c r="C101" s="15">
        <v>1.0060831204387499</v>
      </c>
      <c r="D101" s="10">
        <v>-5.0751200000000001</v>
      </c>
      <c r="E101" s="10">
        <v>-4.0558800000000002</v>
      </c>
      <c r="F101" s="10">
        <v>5.7510600000000007</v>
      </c>
      <c r="G101" s="16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2.75" customHeight="1" x14ac:dyDescent="0.25">
      <c r="A102" s="1">
        <v>1998</v>
      </c>
      <c r="B102" s="1">
        <v>5</v>
      </c>
      <c r="C102" s="15">
        <v>-1.7187921227490799</v>
      </c>
      <c r="D102" s="10">
        <v>-3.8172799999999998</v>
      </c>
      <c r="E102" s="10">
        <v>-4.4405299999999999</v>
      </c>
      <c r="F102" s="10">
        <v>-11.155280000000001</v>
      </c>
      <c r="G102" s="16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2.75" customHeight="1" x14ac:dyDescent="0.25">
      <c r="A103" s="1">
        <v>1998</v>
      </c>
      <c r="B103" s="1">
        <v>6</v>
      </c>
      <c r="C103" s="15">
        <v>4.0618897585273039</v>
      </c>
      <c r="D103" s="10">
        <v>-0.1</v>
      </c>
      <c r="E103" s="10">
        <v>-6.7743499999999992</v>
      </c>
      <c r="F103" s="10">
        <v>20.044629999999998</v>
      </c>
      <c r="G103" s="16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2.75" customHeight="1" x14ac:dyDescent="0.25">
      <c r="A104" s="1">
        <v>1998</v>
      </c>
      <c r="B104" s="1">
        <v>7</v>
      </c>
      <c r="C104" s="15">
        <v>-1.0648387371064882</v>
      </c>
      <c r="D104" s="10">
        <v>-5.4707999999999997</v>
      </c>
      <c r="E104" s="10">
        <v>-13.003080000000001</v>
      </c>
      <c r="F104" s="10">
        <v>6.9669400000000001</v>
      </c>
      <c r="G104" s="16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2.75" customHeight="1" x14ac:dyDescent="0.25">
      <c r="A105" s="1">
        <v>1998</v>
      </c>
      <c r="B105" s="1">
        <v>8</v>
      </c>
      <c r="C105" s="15">
        <v>-14.457718218420057</v>
      </c>
      <c r="D105" s="10">
        <v>6.68187</v>
      </c>
      <c r="E105" s="10">
        <v>-20.028890000000001</v>
      </c>
      <c r="F105" s="10">
        <v>-4.0602900000000002</v>
      </c>
      <c r="G105" s="16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2.75" customHeight="1" x14ac:dyDescent="0.25">
      <c r="A106" s="1">
        <v>1998</v>
      </c>
      <c r="B106" s="1">
        <v>9</v>
      </c>
      <c r="C106" s="15">
        <v>6.4060393970495344</v>
      </c>
      <c r="D106" s="10">
        <v>7.7740300000000007</v>
      </c>
      <c r="E106" s="10">
        <v>10.808909999999999</v>
      </c>
      <c r="F106" s="10">
        <v>-1.86673</v>
      </c>
      <c r="G106" s="16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2.75" customHeight="1" x14ac:dyDescent="0.25">
      <c r="A107" s="1">
        <v>1998</v>
      </c>
      <c r="B107" s="1">
        <v>10</v>
      </c>
      <c r="C107" s="15">
        <v>8.1341989203888474</v>
      </c>
      <c r="D107" s="10">
        <v>0.15608</v>
      </c>
      <c r="E107" s="10">
        <v>9.3716299999999979</v>
      </c>
      <c r="F107" s="10">
        <v>-7.4570099999999995</v>
      </c>
      <c r="G107" s="16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2.75" customHeight="1" x14ac:dyDescent="0.25">
      <c r="A108" s="1">
        <v>1998</v>
      </c>
      <c r="B108" s="1">
        <v>11</v>
      </c>
      <c r="C108" s="15">
        <v>6.0607892486682191</v>
      </c>
      <c r="D108" s="10">
        <v>-4.1111999999999993</v>
      </c>
      <c r="E108" s="10">
        <v>8.4243499999999987</v>
      </c>
      <c r="F108" s="10">
        <v>-9.1791700000000009</v>
      </c>
      <c r="G108" s="16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2.75" customHeight="1" x14ac:dyDescent="0.25">
      <c r="A109" s="1">
        <v>1998</v>
      </c>
      <c r="B109" s="1">
        <v>12</v>
      </c>
      <c r="C109" s="15">
        <v>5.7625165055430028</v>
      </c>
      <c r="D109" s="10">
        <v>1.3835599999999999</v>
      </c>
      <c r="E109" s="10">
        <v>-19.792310000000001</v>
      </c>
      <c r="F109" s="10">
        <v>-8.4791900000000009</v>
      </c>
      <c r="G109" s="16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2.75" customHeight="1" x14ac:dyDescent="0.25">
      <c r="A110" s="1">
        <v>1999</v>
      </c>
      <c r="B110" s="1">
        <v>1</v>
      </c>
      <c r="C110" s="15">
        <v>4.1816017427482199</v>
      </c>
      <c r="D110" s="10">
        <v>-7.0056399999999996</v>
      </c>
      <c r="E110" s="10">
        <v>6.2233700000000001</v>
      </c>
      <c r="F110" s="10">
        <v>31.006149999999998</v>
      </c>
      <c r="G110" s="16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2.75" customHeight="1" x14ac:dyDescent="0.25">
      <c r="A111" s="1">
        <v>1999</v>
      </c>
      <c r="B111" s="1">
        <v>2</v>
      </c>
      <c r="C111" s="15">
        <v>-3.1078737745274032</v>
      </c>
      <c r="D111" s="10">
        <v>-3.7244999999999995</v>
      </c>
      <c r="E111" s="10">
        <v>3.0048200000000005</v>
      </c>
      <c r="F111" s="10">
        <v>2.9111100000000003</v>
      </c>
      <c r="G111" s="16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2.75" customHeight="1" x14ac:dyDescent="0.25">
      <c r="A112" s="1">
        <v>1999</v>
      </c>
      <c r="B112" s="1">
        <v>3</v>
      </c>
      <c r="C112" s="15">
        <v>4.0008494649616422</v>
      </c>
      <c r="D112" s="10">
        <v>-4.75345</v>
      </c>
      <c r="E112" s="10">
        <v>-4.6613999999999995</v>
      </c>
      <c r="F112" s="10">
        <v>14.799509999999998</v>
      </c>
      <c r="G112" s="16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2.75" customHeight="1" x14ac:dyDescent="0.25">
      <c r="A113" s="1">
        <v>1999</v>
      </c>
      <c r="B113" s="1">
        <v>4</v>
      </c>
      <c r="C113" s="15">
        <v>3.8725493551264867</v>
      </c>
      <c r="D113" s="10">
        <v>4.3093900000000005</v>
      </c>
      <c r="E113" s="10">
        <v>19.385289999999998</v>
      </c>
      <c r="F113" s="10">
        <v>13.903199999999998</v>
      </c>
      <c r="G113" s="16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2.75" customHeight="1" x14ac:dyDescent="0.25">
      <c r="A114" s="1">
        <v>1999</v>
      </c>
      <c r="B114" s="1">
        <v>5</v>
      </c>
      <c r="C114" s="15">
        <v>-2.3613672131111541</v>
      </c>
      <c r="D114" s="10">
        <v>6.0224000000000002</v>
      </c>
      <c r="E114" s="10">
        <v>3.7843100000000005</v>
      </c>
      <c r="F114" s="10">
        <v>13.302059999999999</v>
      </c>
      <c r="G114" s="16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2.75" customHeight="1" x14ac:dyDescent="0.25">
      <c r="A115" s="1">
        <v>1999</v>
      </c>
      <c r="B115" s="1">
        <v>6</v>
      </c>
      <c r="C115" s="15">
        <v>5.5497347454000145</v>
      </c>
      <c r="D115" s="10">
        <v>-13.499420000000001</v>
      </c>
      <c r="E115" s="10">
        <v>4.5050000000000008</v>
      </c>
      <c r="F115" s="10">
        <v>18.506059999999998</v>
      </c>
      <c r="G115" s="16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2.75" customHeight="1" x14ac:dyDescent="0.25">
      <c r="A116" s="1">
        <v>1999</v>
      </c>
      <c r="B116" s="1">
        <v>7</v>
      </c>
      <c r="C116" s="15">
        <v>-3.1224707384924</v>
      </c>
      <c r="D116" s="10">
        <v>-5.9248799999999999</v>
      </c>
      <c r="E116" s="10">
        <v>3.0250000000000004</v>
      </c>
      <c r="F116" s="10">
        <v>4.8882400000000006</v>
      </c>
      <c r="G116" s="16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2.75" customHeight="1" x14ac:dyDescent="0.25">
      <c r="A117" s="1">
        <v>1999</v>
      </c>
      <c r="B117" s="1">
        <v>8</v>
      </c>
      <c r="C117" s="15">
        <v>-0.49472522262635765</v>
      </c>
      <c r="D117" s="10">
        <v>4.2477</v>
      </c>
      <c r="E117" s="10">
        <v>7.1899999999999992E-2</v>
      </c>
      <c r="F117" s="10">
        <v>-8.0180699999999998</v>
      </c>
      <c r="G117" s="16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2.75" customHeight="1" x14ac:dyDescent="0.25">
      <c r="A118" s="1">
        <v>1999</v>
      </c>
      <c r="B118" s="1">
        <v>9</v>
      </c>
      <c r="C118" s="15">
        <v>-2.7413986179419925</v>
      </c>
      <c r="D118" s="10">
        <v>-6.1253899999999994</v>
      </c>
      <c r="E118" s="10">
        <v>-6.03207</v>
      </c>
      <c r="F118" s="10">
        <v>9.3984099999999984</v>
      </c>
      <c r="G118" s="16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2.75" customHeight="1" x14ac:dyDescent="0.25">
      <c r="A119" s="1">
        <v>1999</v>
      </c>
      <c r="B119" s="1">
        <v>10</v>
      </c>
      <c r="C119" s="15">
        <v>6.328068656942043</v>
      </c>
      <c r="D119" s="10">
        <v>0.9988999999999999</v>
      </c>
      <c r="E119" s="10">
        <v>7.9656899999999995</v>
      </c>
      <c r="F119" s="10">
        <v>21.785159999999998</v>
      </c>
      <c r="G119" s="16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2.75" customHeight="1" x14ac:dyDescent="0.25">
      <c r="A120" s="1">
        <v>1999</v>
      </c>
      <c r="B120" s="1">
        <v>11</v>
      </c>
      <c r="C120" s="15">
        <v>2.0328316773894572</v>
      </c>
      <c r="D120" s="10">
        <v>-7.4188399999999994</v>
      </c>
      <c r="E120" s="10">
        <v>-11.601640000000002</v>
      </c>
      <c r="F120" s="10">
        <v>21.526979999999998</v>
      </c>
      <c r="G120" s="16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2.75" customHeight="1" x14ac:dyDescent="0.25">
      <c r="A121" s="1">
        <v>1999</v>
      </c>
      <c r="B121" s="1">
        <v>12</v>
      </c>
      <c r="C121" s="15">
        <v>5.8896158661477127</v>
      </c>
      <c r="D121" s="10">
        <v>2.2904400000000003</v>
      </c>
      <c r="E121" s="10">
        <v>1.90123</v>
      </c>
      <c r="F121" s="10">
        <v>-35.835069999999995</v>
      </c>
      <c r="G121" s="16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2.75" customHeight="1" x14ac:dyDescent="0.25">
      <c r="A122" s="1">
        <v>2000</v>
      </c>
      <c r="B122" s="1">
        <v>1</v>
      </c>
      <c r="C122" s="15">
        <v>-5.0242381397852416</v>
      </c>
      <c r="D122" s="10">
        <v>4.1801600000000008</v>
      </c>
      <c r="E122" s="10">
        <v>7.2893500000000007</v>
      </c>
      <c r="F122" s="10">
        <v>-0.73633000000000004</v>
      </c>
      <c r="G122" s="16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2.75" customHeight="1" x14ac:dyDescent="0.25">
      <c r="A123" s="1">
        <v>2000</v>
      </c>
      <c r="B123" s="1">
        <v>2</v>
      </c>
      <c r="C123" s="15">
        <v>-1.8929692615169635</v>
      </c>
      <c r="D123" s="10">
        <v>-14.353730000000001</v>
      </c>
      <c r="E123" s="10">
        <v>-16.778650000000003</v>
      </c>
      <c r="F123" s="10">
        <v>-22.350640000000002</v>
      </c>
      <c r="G123" s="16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2.75" customHeight="1" x14ac:dyDescent="0.25">
      <c r="A124" s="1">
        <v>2000</v>
      </c>
      <c r="B124" s="1">
        <v>3</v>
      </c>
      <c r="C124" s="15">
        <v>9.7828562691034016</v>
      </c>
      <c r="D124" s="10">
        <v>5.9017800000000005</v>
      </c>
      <c r="E124" s="10">
        <v>2.2688300000000003</v>
      </c>
      <c r="F124" s="10">
        <v>33.597370000000005</v>
      </c>
      <c r="G124" s="16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2.75" customHeight="1" x14ac:dyDescent="0.25">
      <c r="A125" s="1">
        <v>2000</v>
      </c>
      <c r="B125" s="1">
        <v>4</v>
      </c>
      <c r="C125" s="15">
        <v>-3.0085711149123284</v>
      </c>
      <c r="D125" s="10">
        <v>22.749089999999999</v>
      </c>
      <c r="E125" s="10">
        <v>4.8586100000000005</v>
      </c>
      <c r="F125" s="10">
        <v>12.215269999999999</v>
      </c>
      <c r="G125" s="16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2.75" customHeight="1" x14ac:dyDescent="0.25">
      <c r="A126" s="1">
        <v>2000</v>
      </c>
      <c r="B126" s="1">
        <v>5</v>
      </c>
      <c r="C126" s="15">
        <v>-2.051707537437375</v>
      </c>
      <c r="D126" s="10">
        <v>-1.3614300000000001</v>
      </c>
      <c r="E126" s="10">
        <v>-1.32203</v>
      </c>
      <c r="F126" s="10">
        <v>-25.319300000000002</v>
      </c>
      <c r="G126" s="16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2.75" customHeight="1" x14ac:dyDescent="0.25">
      <c r="A127" s="1">
        <v>2000</v>
      </c>
      <c r="B127" s="1">
        <v>6</v>
      </c>
      <c r="C127" s="15">
        <v>2.4653316710793627</v>
      </c>
      <c r="D127" s="10">
        <v>-16.797130000000003</v>
      </c>
      <c r="E127" s="10">
        <v>6.9399100000000002</v>
      </c>
      <c r="F127" s="10">
        <v>11.172729999999998</v>
      </c>
      <c r="G127" s="16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2.75" customHeight="1" x14ac:dyDescent="0.25">
      <c r="A128" s="1">
        <v>2000</v>
      </c>
      <c r="B128" s="1">
        <v>7</v>
      </c>
      <c r="C128" s="15">
        <v>-1.5634206564886122</v>
      </c>
      <c r="D128" s="10">
        <v>10.661179999999998</v>
      </c>
      <c r="E128" s="10">
        <v>16.641209999999997</v>
      </c>
      <c r="F128" s="10">
        <v>18.897359999999999</v>
      </c>
      <c r="G128" s="16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2.75" customHeight="1" x14ac:dyDescent="0.25">
      <c r="A129" s="1">
        <v>2000</v>
      </c>
      <c r="B129" s="1">
        <v>8</v>
      </c>
      <c r="C129" s="15">
        <v>6.2114374917039195</v>
      </c>
      <c r="D129" s="10">
        <v>8.7745299999999986</v>
      </c>
      <c r="E129" s="10">
        <v>10.044839999999999</v>
      </c>
      <c r="F129" s="10">
        <v>4.6113100000000005</v>
      </c>
      <c r="G129" s="16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2.75" customHeight="1" x14ac:dyDescent="0.25">
      <c r="A130" s="1">
        <v>2000</v>
      </c>
      <c r="B130" s="1">
        <v>9</v>
      </c>
      <c r="C130" s="15">
        <v>-5.2793342811741972</v>
      </c>
      <c r="D130" s="10">
        <v>11.111389999999998</v>
      </c>
      <c r="E130" s="10">
        <v>17.61562</v>
      </c>
      <c r="F130" s="10">
        <v>9.4695499999999981</v>
      </c>
      <c r="G130" s="16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2.75" customHeight="1" x14ac:dyDescent="0.25">
      <c r="A131" s="1">
        <v>2000</v>
      </c>
      <c r="B131" s="1">
        <v>10</v>
      </c>
      <c r="C131" s="15">
        <v>-0.42275948010668252</v>
      </c>
      <c r="D131" s="10">
        <v>6.1386400000000005</v>
      </c>
      <c r="E131" s="10">
        <v>7.3265400000000005</v>
      </c>
      <c r="F131" s="10">
        <v>-7.8369399999999994</v>
      </c>
      <c r="G131" s="16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2.75" customHeight="1" x14ac:dyDescent="0.25">
      <c r="A132" s="1">
        <v>2000</v>
      </c>
      <c r="B132" s="1">
        <v>11</v>
      </c>
      <c r="C132" s="15">
        <v>-7.8839541439010947</v>
      </c>
      <c r="D132" s="10">
        <v>12.189159999999999</v>
      </c>
      <c r="E132" s="10">
        <v>1.9497499999999999</v>
      </c>
      <c r="F132" s="10">
        <v>-21.483650000000001</v>
      </c>
      <c r="G132" s="16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2.75" customHeight="1" x14ac:dyDescent="0.25">
      <c r="A133" s="1">
        <v>2000</v>
      </c>
      <c r="B133" s="1">
        <v>12</v>
      </c>
      <c r="C133" s="15">
        <v>0.48944003990338825</v>
      </c>
      <c r="D133" s="10">
        <v>0.98695999999999984</v>
      </c>
      <c r="E133" s="10">
        <v>-4.5350799999999998</v>
      </c>
      <c r="F133" s="10">
        <v>-8.6482700000000019</v>
      </c>
      <c r="G133" s="16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2.75" customHeight="1" x14ac:dyDescent="0.25">
      <c r="A134" s="1">
        <v>2001</v>
      </c>
      <c r="B134" s="1">
        <v>1</v>
      </c>
      <c r="C134" s="15">
        <v>3.5479069210527125</v>
      </c>
      <c r="D134" s="10">
        <v>-7.0892499999999998</v>
      </c>
      <c r="E134" s="10">
        <v>-11.463640000000002</v>
      </c>
      <c r="F134" s="10">
        <v>28.45908</v>
      </c>
      <c r="G134" s="16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2.75" customHeight="1" x14ac:dyDescent="0.25">
      <c r="A135" s="1">
        <v>2001</v>
      </c>
      <c r="B135" s="1">
        <v>2</v>
      </c>
      <c r="C135" s="15">
        <v>-9.11816911276585</v>
      </c>
      <c r="D135" s="10">
        <v>11.206359999999998</v>
      </c>
      <c r="E135" s="10">
        <v>6.51539</v>
      </c>
      <c r="F135" s="10">
        <v>-22.338370000000001</v>
      </c>
      <c r="G135" s="16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2.75" customHeight="1" x14ac:dyDescent="0.25">
      <c r="A136" s="1">
        <v>2001</v>
      </c>
      <c r="B136" s="1">
        <v>3</v>
      </c>
      <c r="C136" s="15">
        <v>-6.3350635455373556</v>
      </c>
      <c r="D136" s="10">
        <v>-1.2358900000000002</v>
      </c>
      <c r="E136" s="10">
        <v>-10.534080000000001</v>
      </c>
      <c r="F136" s="10">
        <v>-14.247200000000001</v>
      </c>
      <c r="G136" s="16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2.75" customHeight="1" x14ac:dyDescent="0.25">
      <c r="A137" s="1">
        <v>2001</v>
      </c>
      <c r="B137" s="1">
        <v>4</v>
      </c>
      <c r="C137" s="15">
        <v>7.7710481452415214</v>
      </c>
      <c r="D137" s="10">
        <v>4.8787200000000004</v>
      </c>
      <c r="E137" s="10">
        <v>10.831609999999998</v>
      </c>
      <c r="F137" s="10">
        <v>-16.616760000000003</v>
      </c>
      <c r="G137" s="16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2.75" customHeight="1" x14ac:dyDescent="0.25">
      <c r="A138" s="1">
        <v>2001</v>
      </c>
      <c r="B138" s="1">
        <v>5</v>
      </c>
      <c r="C138" s="15">
        <v>0.66999275807382297</v>
      </c>
      <c r="D138" s="10">
        <v>2.8590600000000004</v>
      </c>
      <c r="E138" s="10">
        <v>1.9388399999999999</v>
      </c>
      <c r="F138" s="10">
        <v>-11.200230000000001</v>
      </c>
      <c r="G138" s="16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2.75" customHeight="1" x14ac:dyDescent="0.25">
      <c r="A139" s="1">
        <v>2001</v>
      </c>
      <c r="B139" s="1">
        <v>6</v>
      </c>
      <c r="C139" s="15">
        <v>-2.4338592419494653</v>
      </c>
      <c r="D139" s="10">
        <v>-8.1278900000000007</v>
      </c>
      <c r="E139" s="10">
        <v>-11.691670000000002</v>
      </c>
      <c r="F139" s="10">
        <v>12.110799999999999</v>
      </c>
      <c r="G139" s="16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2.75" customHeight="1" x14ac:dyDescent="0.25">
      <c r="A140" s="1">
        <v>2001</v>
      </c>
      <c r="B140" s="1">
        <v>7</v>
      </c>
      <c r="C140" s="15">
        <v>-0.98441307083095841</v>
      </c>
      <c r="D140" s="10">
        <v>-2.6341099999999997</v>
      </c>
      <c r="E140" s="10">
        <v>5.1697800000000003</v>
      </c>
      <c r="F140" s="10">
        <v>-7.5426199999999994</v>
      </c>
      <c r="G140" s="16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2.75" customHeight="1" x14ac:dyDescent="0.25">
      <c r="A141" s="1">
        <v>2001</v>
      </c>
      <c r="B141" s="17">
        <v>8</v>
      </c>
      <c r="C141" s="15">
        <v>-6.2601599999999991</v>
      </c>
      <c r="D141" s="10">
        <v>2.9444500000000002</v>
      </c>
      <c r="E141" s="10">
        <v>-12.333040000000002</v>
      </c>
      <c r="F141" s="10">
        <v>-17.20946</v>
      </c>
      <c r="G141" s="7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spans="1:26" ht="12.75" customHeight="1" x14ac:dyDescent="0.25">
      <c r="A142" s="1">
        <v>2001</v>
      </c>
      <c r="B142" s="17">
        <v>9</v>
      </c>
      <c r="C142" s="15">
        <v>-8.0752400000000009</v>
      </c>
      <c r="D142" s="10">
        <v>-5.6494899999999992</v>
      </c>
      <c r="E142" s="10">
        <v>-34.670309999999994</v>
      </c>
      <c r="F142" s="10">
        <v>3.7675200000000002</v>
      </c>
      <c r="G142" s="7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25">
      <c r="A143" s="1">
        <v>2001</v>
      </c>
      <c r="B143" s="17">
        <v>10</v>
      </c>
      <c r="C143" s="15">
        <v>1.90689</v>
      </c>
      <c r="D143" s="10">
        <v>-3.1765699999999994</v>
      </c>
      <c r="E143" s="10">
        <v>-2.7865699999999998</v>
      </c>
      <c r="F143" s="10">
        <v>2.9515500000000006</v>
      </c>
      <c r="G143" s="7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25">
      <c r="A144" s="1">
        <v>2001</v>
      </c>
      <c r="B144" s="17">
        <v>11</v>
      </c>
      <c r="C144" s="15">
        <v>7.6706200000000004</v>
      </c>
      <c r="D144" s="10">
        <v>-0.21933000000000002</v>
      </c>
      <c r="E144" s="10">
        <v>8.0901799999999984</v>
      </c>
      <c r="F144" s="10">
        <v>15.786349999999999</v>
      </c>
      <c r="G144" s="7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25">
      <c r="A145" s="1">
        <v>2001</v>
      </c>
      <c r="B145" s="17">
        <v>12</v>
      </c>
      <c r="C145" s="15">
        <v>0.87603000000000009</v>
      </c>
      <c r="D145" s="10">
        <v>5.42727</v>
      </c>
      <c r="E145" s="10">
        <v>10.384329999999999</v>
      </c>
      <c r="F145" s="10">
        <v>3.8364600000000002</v>
      </c>
      <c r="G145" s="7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25">
      <c r="A146" s="1">
        <v>2002</v>
      </c>
      <c r="B146" s="17">
        <v>1</v>
      </c>
      <c r="C146" s="15">
        <v>-1.45932</v>
      </c>
      <c r="D146" s="10">
        <v>-4.21211</v>
      </c>
      <c r="E146" s="10">
        <v>5.4956700000000005</v>
      </c>
      <c r="F146" s="10">
        <v>4.61761</v>
      </c>
      <c r="G146" s="7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25">
      <c r="A147" s="1">
        <v>2002</v>
      </c>
      <c r="B147" s="17">
        <v>2</v>
      </c>
      <c r="C147" s="15">
        <v>-1.9285099999999999</v>
      </c>
      <c r="D147" s="10">
        <v>6.3925700000000001</v>
      </c>
      <c r="E147" s="10">
        <v>12.549569999999999</v>
      </c>
      <c r="F147" s="10">
        <v>-13.044160000000002</v>
      </c>
      <c r="G147" s="7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25">
      <c r="A148" s="1">
        <v>2002</v>
      </c>
      <c r="B148" s="17">
        <v>3</v>
      </c>
      <c r="C148" s="15">
        <v>3.7609299999999997</v>
      </c>
      <c r="D148" s="10">
        <v>5.0083200000000003</v>
      </c>
      <c r="E148" s="10">
        <v>4.8825900000000004</v>
      </c>
      <c r="F148" s="10">
        <v>9.3752199999999988</v>
      </c>
      <c r="G148" s="7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25">
      <c r="A149" s="1">
        <v>2002</v>
      </c>
      <c r="B149" s="17">
        <v>4</v>
      </c>
      <c r="C149" s="15">
        <v>-6.0628099999999998</v>
      </c>
      <c r="D149" s="10">
        <v>-0.72920000000000007</v>
      </c>
      <c r="E149" s="10">
        <v>-7.6647699999999999</v>
      </c>
      <c r="F149" s="10">
        <v>3.7615200000000004</v>
      </c>
      <c r="G149" s="7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25">
      <c r="A150" s="1">
        <v>2002</v>
      </c>
      <c r="B150" s="17">
        <v>5</v>
      </c>
      <c r="C150" s="15">
        <v>-0.73670999999999998</v>
      </c>
      <c r="D150" s="10">
        <v>-5.4930099999999999</v>
      </c>
      <c r="E150" s="10">
        <v>-4.0910299999999999</v>
      </c>
      <c r="F150" s="10">
        <v>9.6435899999999979</v>
      </c>
      <c r="G150" s="7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25">
      <c r="A151" s="1">
        <v>2002</v>
      </c>
      <c r="B151" s="17">
        <v>6</v>
      </c>
      <c r="C151" s="15">
        <v>-7.1229799999999992</v>
      </c>
      <c r="D151" s="10">
        <v>-6.4421499999999998</v>
      </c>
      <c r="E151" s="10">
        <v>5.4099700000000004</v>
      </c>
      <c r="F151" s="10">
        <v>-12.307940000000002</v>
      </c>
      <c r="G151" s="7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25">
      <c r="A152" s="1">
        <v>2002</v>
      </c>
      <c r="B152" s="17">
        <v>7</v>
      </c>
      <c r="C152" s="15">
        <v>-7.79542</v>
      </c>
      <c r="D152" s="10">
        <v>-17.866120000000002</v>
      </c>
      <c r="E152" s="10">
        <v>-7.8333299999999992</v>
      </c>
      <c r="F152" s="10">
        <v>-14.936990000000002</v>
      </c>
      <c r="G152" s="7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25">
      <c r="A153" s="1">
        <v>2002</v>
      </c>
      <c r="B153" s="17">
        <v>8</v>
      </c>
      <c r="C153" s="15">
        <v>0.65656000000000003</v>
      </c>
      <c r="D153" s="10">
        <v>5.33908</v>
      </c>
      <c r="E153" s="10">
        <v>-10.408280000000001</v>
      </c>
      <c r="F153" s="10">
        <v>-14.982810000000001</v>
      </c>
      <c r="G153" s="7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25">
      <c r="A154" s="1">
        <v>2002</v>
      </c>
      <c r="B154" s="17">
        <v>9</v>
      </c>
      <c r="C154" s="15">
        <v>-10.86795</v>
      </c>
      <c r="D154" s="10">
        <v>-16.49296</v>
      </c>
      <c r="E154" s="10">
        <v>-8.0309399999999993</v>
      </c>
      <c r="F154" s="10">
        <v>-8.0394199999999998</v>
      </c>
      <c r="G154" s="7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25">
      <c r="A155" s="1">
        <v>2002</v>
      </c>
      <c r="B155" s="17">
        <v>10</v>
      </c>
      <c r="C155" s="15">
        <v>8.8015799999999995</v>
      </c>
      <c r="D155" s="10">
        <v>-10.166640000000001</v>
      </c>
      <c r="E155" s="10">
        <v>-12.933280000000002</v>
      </c>
      <c r="F155" s="10">
        <v>4.08744</v>
      </c>
      <c r="G155" s="7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25">
      <c r="A156" s="1">
        <v>2002</v>
      </c>
      <c r="B156" s="17">
        <v>11</v>
      </c>
      <c r="C156" s="15">
        <v>5.8859000000000004</v>
      </c>
      <c r="D156" s="10">
        <v>13.082529999999998</v>
      </c>
      <c r="E156" s="10">
        <v>14.757139999999998</v>
      </c>
      <c r="F156" s="10">
        <v>14.588999999999999</v>
      </c>
      <c r="G156" s="7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25">
      <c r="A157" s="1">
        <v>2002</v>
      </c>
      <c r="B157" s="17">
        <v>12</v>
      </c>
      <c r="C157" s="15">
        <v>-5.8747499999999997</v>
      </c>
      <c r="D157" s="10">
        <v>-3.9353299999999996</v>
      </c>
      <c r="E157" s="10">
        <v>-3.0705899999999997</v>
      </c>
      <c r="F157" s="10">
        <v>-21.194740000000003</v>
      </c>
      <c r="G157" s="7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25">
      <c r="A158" s="1">
        <v>2003</v>
      </c>
      <c r="B158" s="17">
        <v>1</v>
      </c>
      <c r="C158" s="15">
        <v>-2.6196700000000002</v>
      </c>
      <c r="D158" s="10">
        <v>-13.674830000000002</v>
      </c>
      <c r="E158" s="10">
        <v>-4.3437099999999997</v>
      </c>
      <c r="F158" s="10">
        <v>6.3567800000000005</v>
      </c>
      <c r="G158" s="7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25">
      <c r="A159" s="1">
        <v>2003</v>
      </c>
      <c r="B159" s="17">
        <v>2</v>
      </c>
      <c r="C159" s="15">
        <v>-1.50038</v>
      </c>
      <c r="D159" s="10">
        <v>-5.3497899999999996</v>
      </c>
      <c r="E159" s="10">
        <v>-12.319060000000002</v>
      </c>
      <c r="F159" s="10">
        <v>-1.6538900000000001</v>
      </c>
      <c r="G159" s="7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25">
      <c r="A160" s="1">
        <v>2003</v>
      </c>
      <c r="B160" s="17">
        <v>3</v>
      </c>
      <c r="C160" s="15">
        <v>0.97094000000000003</v>
      </c>
      <c r="D160" s="10">
        <v>4.8127599999999999</v>
      </c>
      <c r="E160" s="10">
        <v>-9.1711200000000019</v>
      </c>
      <c r="F160" s="10">
        <v>13.392869999999998</v>
      </c>
      <c r="G160" s="7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25">
      <c r="A161" s="1">
        <v>2003</v>
      </c>
      <c r="B161" s="17">
        <v>4</v>
      </c>
      <c r="C161" s="15">
        <v>8.2370099999999997</v>
      </c>
      <c r="D161" s="10">
        <v>15.348579999999998</v>
      </c>
      <c r="E161" s="10">
        <v>8.7587399999999977</v>
      </c>
      <c r="F161" s="10">
        <v>6.2705700000000002</v>
      </c>
      <c r="G161" s="7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25">
      <c r="A162" s="1">
        <v>2003</v>
      </c>
      <c r="B162" s="17">
        <v>5</v>
      </c>
      <c r="C162" s="15">
        <v>5.26877</v>
      </c>
      <c r="D162" s="10">
        <v>11.310159999999998</v>
      </c>
      <c r="E162" s="10">
        <v>12.949849999999998</v>
      </c>
      <c r="F162" s="10">
        <v>1.5448799999999998</v>
      </c>
      <c r="G162" s="7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25">
      <c r="A163" s="1">
        <v>2003</v>
      </c>
      <c r="B163" s="17">
        <v>6</v>
      </c>
      <c r="C163" s="15">
        <v>1.27563</v>
      </c>
      <c r="D163" s="10">
        <v>2.6203900000000004</v>
      </c>
      <c r="E163" s="10">
        <v>11.800879999999999</v>
      </c>
      <c r="F163" s="10">
        <v>9.0701199999999993</v>
      </c>
      <c r="G163" s="7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25">
      <c r="A164" s="1">
        <v>2003</v>
      </c>
      <c r="B164" s="17">
        <v>7</v>
      </c>
      <c r="C164" s="15">
        <v>1.7631600000000001</v>
      </c>
      <c r="D164" s="10">
        <v>-6.03362</v>
      </c>
      <c r="E164" s="10">
        <v>-3.5964999999999998</v>
      </c>
      <c r="F164" s="10">
        <v>0.8882199999999999</v>
      </c>
      <c r="G164" s="7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25">
      <c r="A165" s="1">
        <v>2003</v>
      </c>
      <c r="B165" s="17">
        <v>8</v>
      </c>
      <c r="C165" s="15">
        <v>1.9501999999999999</v>
      </c>
      <c r="D165" s="10">
        <v>2.0382800000000003</v>
      </c>
      <c r="E165" s="10">
        <v>13.305799999999998</v>
      </c>
      <c r="F165" s="10">
        <v>14.314749999999998</v>
      </c>
      <c r="G165" s="7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25">
      <c r="A166" s="1">
        <v>2003</v>
      </c>
      <c r="B166" s="17">
        <v>9</v>
      </c>
      <c r="C166" s="15">
        <v>-1.0619499999999999</v>
      </c>
      <c r="D166" s="10">
        <v>5.8696200000000003</v>
      </c>
      <c r="E166" s="10">
        <v>-8.2840100000000021</v>
      </c>
      <c r="F166" s="10">
        <v>-6.6460499999999998</v>
      </c>
      <c r="G166" s="7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25">
      <c r="A167" s="1">
        <v>2003</v>
      </c>
      <c r="B167" s="17">
        <v>10</v>
      </c>
      <c r="C167" s="15">
        <v>5.6569799999999999</v>
      </c>
      <c r="D167" s="10">
        <v>-6.1333299999999999</v>
      </c>
      <c r="E167" s="10">
        <v>12.017679999999999</v>
      </c>
      <c r="F167" s="10">
        <v>5.4614200000000004</v>
      </c>
      <c r="G167" s="7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25">
      <c r="A168" s="1">
        <v>2003</v>
      </c>
      <c r="B168" s="17">
        <v>11</v>
      </c>
      <c r="C168" s="15">
        <v>0.87982000000000005</v>
      </c>
      <c r="D168" s="10">
        <v>-0.63210000000000011</v>
      </c>
      <c r="E168" s="10">
        <v>8.1869999999999984E-2</v>
      </c>
      <c r="F168" s="10">
        <v>3.7679600000000004</v>
      </c>
      <c r="G168" s="7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25">
      <c r="A169" s="1">
        <v>2003</v>
      </c>
      <c r="B169" s="17">
        <v>12</v>
      </c>
      <c r="C169" s="15">
        <v>5.2444699999999997</v>
      </c>
      <c r="D169" s="10">
        <v>10.084179999999998</v>
      </c>
      <c r="E169" s="10">
        <v>9.6681699999999982</v>
      </c>
      <c r="F169" s="10">
        <v>-0.80626000000000009</v>
      </c>
      <c r="G169" s="7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25">
      <c r="A170" s="1">
        <v>2004</v>
      </c>
      <c r="B170" s="17">
        <v>1</v>
      </c>
      <c r="C170" s="15">
        <v>1.8354999999999999</v>
      </c>
      <c r="D170" s="10">
        <v>6.9140900000000007</v>
      </c>
      <c r="E170" s="10">
        <v>-1.02549</v>
      </c>
      <c r="F170" s="10">
        <v>6.0929600000000006</v>
      </c>
      <c r="G170" s="7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25">
      <c r="A171" s="1">
        <v>2004</v>
      </c>
      <c r="B171" s="17">
        <v>2</v>
      </c>
      <c r="C171" s="15">
        <v>1.38995</v>
      </c>
      <c r="D171" s="10">
        <v>6.6381300000000003</v>
      </c>
      <c r="E171" s="10">
        <v>4.18743</v>
      </c>
      <c r="F171" s="10">
        <v>5.9773500000000004</v>
      </c>
      <c r="G171" s="7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25">
      <c r="A172" s="1">
        <v>2004</v>
      </c>
      <c r="B172" s="17">
        <v>3</v>
      </c>
      <c r="C172" s="15">
        <v>-1.50864</v>
      </c>
      <c r="D172" s="10">
        <v>-4.67971</v>
      </c>
      <c r="E172" s="10">
        <v>-5.4032099999999996</v>
      </c>
      <c r="F172" s="10">
        <v>-4.1509299999999998</v>
      </c>
      <c r="G172" s="7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25">
      <c r="A173" s="1">
        <v>2004</v>
      </c>
      <c r="B173" s="17">
        <v>4</v>
      </c>
      <c r="C173" s="15">
        <v>-1.5698000000000001</v>
      </c>
      <c r="D173" s="10">
        <v>-7.6334099999999996</v>
      </c>
      <c r="E173" s="10">
        <v>3.8444900000000004</v>
      </c>
      <c r="F173" s="10">
        <v>-7.3376399999999995</v>
      </c>
      <c r="G173" s="7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25">
      <c r="A174" s="1">
        <v>2004</v>
      </c>
      <c r="B174" s="17">
        <v>5</v>
      </c>
      <c r="C174" s="15">
        <v>1.3722399999999999</v>
      </c>
      <c r="D174" s="10">
        <v>5.4190500000000004</v>
      </c>
      <c r="E174" s="10">
        <v>7.6535700000000002</v>
      </c>
      <c r="F174" s="10">
        <v>-1.3028600000000001</v>
      </c>
      <c r="G174" s="7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25">
      <c r="A175" s="1">
        <v>2004</v>
      </c>
      <c r="B175" s="17">
        <v>6</v>
      </c>
      <c r="C175" s="15">
        <v>1.9444900000000001</v>
      </c>
      <c r="D175" s="10">
        <v>0.62394999999999989</v>
      </c>
      <c r="E175" s="10">
        <v>11.450219999999998</v>
      </c>
      <c r="F175" s="10">
        <v>-5.8913799999999998</v>
      </c>
      <c r="G175" s="7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25">
      <c r="A176" s="1">
        <v>2004</v>
      </c>
      <c r="B176" s="17">
        <v>7</v>
      </c>
      <c r="C176" s="15">
        <v>-3.3096600000000005</v>
      </c>
      <c r="D176" s="10">
        <v>-2.8812499999999996</v>
      </c>
      <c r="E176" s="10">
        <v>-0.76549000000000011</v>
      </c>
      <c r="F176" s="10">
        <v>-2.4751299999999996</v>
      </c>
      <c r="G176" s="7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25">
      <c r="A177" s="1">
        <v>2004</v>
      </c>
      <c r="B177" s="17">
        <v>8</v>
      </c>
      <c r="C177" s="15">
        <v>0.40449999999999997</v>
      </c>
      <c r="D177" s="10">
        <v>6.2323700000000004</v>
      </c>
      <c r="E177" s="10">
        <v>3.1906400000000001</v>
      </c>
      <c r="F177" s="10">
        <v>-3.7135999999999996</v>
      </c>
      <c r="G177" s="7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25">
      <c r="A178" s="1">
        <v>2004</v>
      </c>
      <c r="B178" s="17">
        <v>9</v>
      </c>
      <c r="C178" s="15">
        <v>1.0830599999999999</v>
      </c>
      <c r="D178" s="10">
        <v>-2.4525799999999998</v>
      </c>
      <c r="E178" s="10">
        <v>-1.24899</v>
      </c>
      <c r="F178" s="10">
        <v>6.2103200000000003</v>
      </c>
      <c r="G178" s="7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25">
      <c r="A179" s="1">
        <v>2004</v>
      </c>
      <c r="B179" s="17">
        <v>10</v>
      </c>
      <c r="C179" s="15">
        <v>1.52769</v>
      </c>
      <c r="D179" s="10">
        <v>2.9350400000000003</v>
      </c>
      <c r="E179" s="10">
        <v>-3.4320399999999998</v>
      </c>
      <c r="F179" s="10">
        <v>4.4041900000000007</v>
      </c>
      <c r="G179" s="7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25">
      <c r="A180" s="1">
        <v>2004</v>
      </c>
      <c r="B180" s="17">
        <v>11</v>
      </c>
      <c r="C180" s="15">
        <v>4.04617</v>
      </c>
      <c r="D180" s="10">
        <v>4.7284200000000007</v>
      </c>
      <c r="E180" s="10">
        <v>7.6555100000000005</v>
      </c>
      <c r="F180" s="10">
        <v>6.2147300000000003</v>
      </c>
      <c r="G180" s="7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25">
      <c r="A181" s="1">
        <v>2004</v>
      </c>
      <c r="B181" s="17">
        <v>12</v>
      </c>
      <c r="C181" s="15">
        <v>3.40286</v>
      </c>
      <c r="D181" s="10">
        <v>0.39751000000000003</v>
      </c>
      <c r="E181" s="10">
        <v>-3.4600899999999997</v>
      </c>
      <c r="F181" s="10">
        <v>4.0495100000000006</v>
      </c>
      <c r="G181" s="7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25">
      <c r="A182" s="1">
        <v>2005</v>
      </c>
      <c r="B182" s="17">
        <v>1</v>
      </c>
      <c r="C182" s="15">
        <v>-2.4374799999999999</v>
      </c>
      <c r="D182" s="10">
        <v>2.5499700000000005</v>
      </c>
      <c r="E182" s="10">
        <v>-2.3599999999999994</v>
      </c>
      <c r="F182" s="10">
        <v>0.62992999999999988</v>
      </c>
      <c r="G182" s="7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25">
      <c r="A183" s="1">
        <v>2005</v>
      </c>
      <c r="B183" s="17">
        <v>2</v>
      </c>
      <c r="C183" s="15">
        <v>2.1044100000000001</v>
      </c>
      <c r="D183" s="10">
        <v>-4.3553199999999999</v>
      </c>
      <c r="E183" s="10">
        <v>9.0304399999999987</v>
      </c>
      <c r="F183" s="10">
        <v>-10.848790000000001</v>
      </c>
      <c r="G183" s="7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25">
      <c r="A184" s="1">
        <v>2005</v>
      </c>
      <c r="B184" s="17">
        <v>3</v>
      </c>
      <c r="C184" s="15">
        <v>-1.77081</v>
      </c>
      <c r="D184" s="10">
        <v>1.87605</v>
      </c>
      <c r="E184" s="10">
        <v>6.24892</v>
      </c>
      <c r="F184" s="10">
        <v>-17.217730000000003</v>
      </c>
      <c r="G184" s="7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25">
      <c r="A185" s="1">
        <v>2005</v>
      </c>
      <c r="B185" s="17">
        <v>4</v>
      </c>
      <c r="C185" s="15">
        <v>-1.89656</v>
      </c>
      <c r="D185" s="10">
        <v>3.3057600000000003</v>
      </c>
      <c r="E185" s="10">
        <v>1.7132099999999999</v>
      </c>
      <c r="F185" s="10">
        <v>1.8183699999999998</v>
      </c>
      <c r="G185" s="7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25">
      <c r="A186" s="1">
        <v>2005</v>
      </c>
      <c r="B186" s="17">
        <v>5</v>
      </c>
      <c r="C186" s="15">
        <v>3.1818499999999998</v>
      </c>
      <c r="D186" s="10">
        <v>2.2282200000000003</v>
      </c>
      <c r="E186" s="10">
        <v>7.6789000000000005</v>
      </c>
      <c r="F186" s="10">
        <v>0.66090999999999989</v>
      </c>
      <c r="G186" s="7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25">
      <c r="A187" s="1">
        <v>2005</v>
      </c>
      <c r="B187" s="17">
        <v>6</v>
      </c>
      <c r="C187" s="15">
        <v>0.14196</v>
      </c>
      <c r="D187" s="10">
        <v>3.2062500000000003</v>
      </c>
      <c r="E187" s="10">
        <v>3.1863900000000003</v>
      </c>
      <c r="F187" s="10">
        <v>-8.0093800000000002</v>
      </c>
      <c r="G187" s="7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25">
      <c r="A188" s="1">
        <v>2005</v>
      </c>
      <c r="B188" s="17">
        <v>7</v>
      </c>
      <c r="C188" s="15">
        <v>3.7188400000000001</v>
      </c>
      <c r="D188" s="10">
        <v>4.8633900000000008</v>
      </c>
      <c r="E188" s="10">
        <v>-8.4850000000000009E-2</v>
      </c>
      <c r="F188" s="10">
        <v>1.19478</v>
      </c>
      <c r="G188" s="7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25">
      <c r="A189" s="1">
        <v>2005</v>
      </c>
      <c r="B189" s="17">
        <v>8</v>
      </c>
      <c r="C189" s="15">
        <v>-0.91239999999999999</v>
      </c>
      <c r="D189" s="10">
        <v>-3.1232599999999997</v>
      </c>
      <c r="E189" s="10">
        <v>1.8088</v>
      </c>
      <c r="F189" s="10">
        <v>6.6746100000000004</v>
      </c>
      <c r="G189" s="7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25">
      <c r="A190" s="1">
        <v>2005</v>
      </c>
      <c r="B190" s="17">
        <v>9</v>
      </c>
      <c r="C190" s="15">
        <v>0.80991999999999986</v>
      </c>
      <c r="D190" s="10">
        <v>6.6778400000000007</v>
      </c>
      <c r="E190" s="10">
        <v>1.28765</v>
      </c>
      <c r="F190" s="10">
        <v>-1.13751</v>
      </c>
      <c r="G190" s="7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25">
      <c r="A191" s="1">
        <v>2005</v>
      </c>
      <c r="B191" s="17">
        <v>10</v>
      </c>
      <c r="C191" s="15">
        <v>-1.66706</v>
      </c>
      <c r="D191" s="10">
        <v>-4.4828699999999992</v>
      </c>
      <c r="E191" s="10">
        <v>-4.9712299999999994</v>
      </c>
      <c r="F191" s="10">
        <v>-10.987100000000002</v>
      </c>
      <c r="G191" s="7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25">
      <c r="A192" s="1">
        <v>2005</v>
      </c>
      <c r="B192" s="17">
        <v>11</v>
      </c>
      <c r="C192" s="15">
        <v>3.7822</v>
      </c>
      <c r="D192" s="10">
        <v>-2.8660699999999997</v>
      </c>
      <c r="E192" s="10">
        <v>5.7787100000000002</v>
      </c>
      <c r="F192" s="10">
        <v>4.2438900000000004</v>
      </c>
      <c r="G192" s="7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25">
      <c r="A193" s="1">
        <v>2005</v>
      </c>
      <c r="B193" s="17">
        <v>12</v>
      </c>
      <c r="C193" s="15">
        <v>3.4799999999999998E-2</v>
      </c>
      <c r="D193" s="10">
        <v>1.4052</v>
      </c>
      <c r="E193" s="10">
        <v>2.9063100000000004</v>
      </c>
      <c r="F193" s="10">
        <v>-7.9036</v>
      </c>
      <c r="G193" s="7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25">
      <c r="A194" s="1">
        <v>2006</v>
      </c>
      <c r="B194" s="17">
        <v>1</v>
      </c>
      <c r="C194" s="15">
        <v>2.6477900000000001</v>
      </c>
      <c r="D194" s="10">
        <v>0.52010999999999996</v>
      </c>
      <c r="E194" s="10">
        <v>-2.8477199999999998</v>
      </c>
      <c r="F194" s="10">
        <v>5.4634800000000006</v>
      </c>
      <c r="G194" s="7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25">
      <c r="A195" s="1">
        <v>2006</v>
      </c>
      <c r="B195" s="17">
        <v>2</v>
      </c>
      <c r="C195" s="15">
        <v>0.27133000000000002</v>
      </c>
      <c r="D195" s="10">
        <v>-1.30579</v>
      </c>
      <c r="E195" s="10">
        <v>6.7511200000000002</v>
      </c>
      <c r="F195" s="10">
        <v>-12.036940000000001</v>
      </c>
      <c r="G195" s="7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25">
      <c r="A196" s="1">
        <v>2006</v>
      </c>
      <c r="B196" s="17">
        <v>3</v>
      </c>
      <c r="C196" s="15">
        <v>1.2447600000000001</v>
      </c>
      <c r="D196" s="10">
        <v>-6.89452</v>
      </c>
      <c r="E196" s="10">
        <v>7.1086900000000002</v>
      </c>
      <c r="F196" s="10">
        <v>-1.7368300000000001</v>
      </c>
      <c r="G196" s="7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25">
      <c r="A197" s="1">
        <v>2006</v>
      </c>
      <c r="B197" s="17">
        <v>4</v>
      </c>
      <c r="C197" s="15">
        <v>1.3427800000000001</v>
      </c>
      <c r="D197" s="10">
        <v>-1.7460900000000001</v>
      </c>
      <c r="E197" s="10">
        <v>6.9832800000000006</v>
      </c>
      <c r="F197" s="10">
        <v>-11.696460000000002</v>
      </c>
      <c r="G197" s="7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25">
      <c r="A198" s="1">
        <v>2006</v>
      </c>
      <c r="B198" s="17">
        <v>5</v>
      </c>
      <c r="C198" s="15">
        <v>-2.8781500000000002</v>
      </c>
      <c r="D198" s="10">
        <v>3.4266000000000005</v>
      </c>
      <c r="E198" s="10">
        <v>1.983E-2</v>
      </c>
      <c r="F198" s="10">
        <v>-1.1588200000000002</v>
      </c>
      <c r="G198" s="7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25">
      <c r="A199" s="1">
        <v>2006</v>
      </c>
      <c r="B199" s="17">
        <v>6</v>
      </c>
      <c r="C199" s="15">
        <v>0.13557</v>
      </c>
      <c r="D199" s="10">
        <v>-0.15836</v>
      </c>
      <c r="E199" s="10">
        <v>-1.7096100000000001</v>
      </c>
      <c r="F199" s="10">
        <v>-16.865750000000002</v>
      </c>
      <c r="G199" s="7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25">
      <c r="A200" s="1">
        <v>2006</v>
      </c>
      <c r="B200" s="17">
        <v>7</v>
      </c>
      <c r="C200" s="15">
        <v>0.61685000000000001</v>
      </c>
      <c r="D200" s="10">
        <v>5.3598500000000007</v>
      </c>
      <c r="E200" s="10">
        <v>-5.5816299999999996</v>
      </c>
      <c r="F200" s="10">
        <v>15.399999999999999</v>
      </c>
      <c r="G200" s="7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25">
      <c r="A201" s="1">
        <v>2006</v>
      </c>
      <c r="B201" s="17">
        <v>8</v>
      </c>
      <c r="C201" s="15">
        <v>2.3793099999999998</v>
      </c>
      <c r="D201" s="10">
        <v>1.9210400000000001</v>
      </c>
      <c r="E201" s="10">
        <v>-2.9674799999999997</v>
      </c>
      <c r="F201" s="10">
        <v>11.588309999999998</v>
      </c>
      <c r="G201" s="7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25">
      <c r="A202" s="1">
        <v>2006</v>
      </c>
      <c r="B202" s="17">
        <v>9</v>
      </c>
      <c r="C202" s="15">
        <v>2.5769899999999999</v>
      </c>
      <c r="D202" s="10">
        <v>-0.40153999999999995</v>
      </c>
      <c r="E202" s="10">
        <v>5.1737000000000002</v>
      </c>
      <c r="F202" s="10">
        <v>6.766</v>
      </c>
      <c r="G202" s="7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25">
      <c r="A203" s="1">
        <v>2006</v>
      </c>
      <c r="B203" s="17">
        <v>10</v>
      </c>
      <c r="C203" s="15">
        <v>3.2586200000000001</v>
      </c>
      <c r="D203" s="10">
        <v>13.812569999999999</v>
      </c>
      <c r="E203" s="10">
        <v>1.1809099999999999</v>
      </c>
      <c r="F203" s="10">
        <v>-7.6647699999999999</v>
      </c>
      <c r="G203" s="7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25">
      <c r="A204" s="1">
        <v>2006</v>
      </c>
      <c r="B204" s="17">
        <v>11</v>
      </c>
      <c r="C204" s="15">
        <v>1.9015999999999997</v>
      </c>
      <c r="D204" s="10">
        <v>1.0344399999999998</v>
      </c>
      <c r="E204" s="10">
        <v>11.132159999999999</v>
      </c>
      <c r="F204" s="10">
        <v>-0.43631999999999999</v>
      </c>
      <c r="G204" s="7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25">
      <c r="A205" s="1">
        <v>2006</v>
      </c>
      <c r="B205" s="17">
        <v>12</v>
      </c>
      <c r="C205" s="15">
        <v>1.4027700000000001</v>
      </c>
      <c r="D205" s="10">
        <v>2.4776900000000004</v>
      </c>
      <c r="E205" s="10">
        <v>0.25016000000000005</v>
      </c>
      <c r="F205" s="10">
        <v>-4.3783799999999999</v>
      </c>
      <c r="G205" s="7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25">
      <c r="A206" s="1">
        <v>2007</v>
      </c>
      <c r="B206" s="17">
        <v>1</v>
      </c>
      <c r="C206" s="15">
        <v>1.5123200000000001</v>
      </c>
      <c r="D206" s="10">
        <v>2.1310900000000004</v>
      </c>
      <c r="E206" s="10">
        <v>0.71044999999999991</v>
      </c>
      <c r="F206" s="10">
        <v>31.604409999999998</v>
      </c>
      <c r="G206" s="7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25">
      <c r="A207" s="1">
        <v>2007</v>
      </c>
      <c r="B207" s="17">
        <v>2</v>
      </c>
      <c r="C207" s="15">
        <v>-1.9558800000000001</v>
      </c>
      <c r="D207" s="10">
        <v>3.9431900000000004</v>
      </c>
      <c r="E207" s="10">
        <v>-2.2773099999999995</v>
      </c>
      <c r="F207" s="10">
        <v>12.886429999999999</v>
      </c>
      <c r="G207" s="7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25">
      <c r="A208" s="1">
        <v>2007</v>
      </c>
      <c r="B208" s="17">
        <v>3</v>
      </c>
      <c r="C208" s="15">
        <v>1.11849</v>
      </c>
      <c r="D208" s="10">
        <v>8.4746099999999984</v>
      </c>
      <c r="E208" s="10">
        <v>1.7908999999999999</v>
      </c>
      <c r="F208" s="10">
        <v>8.1498999999999988</v>
      </c>
      <c r="G208" s="7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25">
      <c r="A209" s="1">
        <v>2007</v>
      </c>
      <c r="B209" s="17">
        <v>4</v>
      </c>
      <c r="C209" s="15">
        <v>4.4295400000000003</v>
      </c>
      <c r="D209" s="10">
        <v>2.9153900000000004</v>
      </c>
      <c r="E209" s="10">
        <v>4.5001600000000002</v>
      </c>
      <c r="F209" s="10">
        <v>7.4471700000000007</v>
      </c>
      <c r="G209" s="7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25">
      <c r="A210" s="1">
        <v>2007</v>
      </c>
      <c r="B210" s="17">
        <v>5</v>
      </c>
      <c r="C210" s="15">
        <v>3.4895</v>
      </c>
      <c r="D210" s="10">
        <v>-4.4807299999999994</v>
      </c>
      <c r="E210" s="10">
        <v>8.4376399999999983</v>
      </c>
      <c r="F210" s="10">
        <v>17.34066</v>
      </c>
      <c r="G210" s="7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25">
      <c r="A211" s="1">
        <v>2007</v>
      </c>
      <c r="B211" s="17">
        <v>6</v>
      </c>
      <c r="C211" s="15">
        <v>-1.6613199999999999</v>
      </c>
      <c r="D211" s="10">
        <v>-5.53775</v>
      </c>
      <c r="E211" s="10">
        <v>-4.5040199999999997</v>
      </c>
      <c r="F211" s="10">
        <v>-3.0291199999999998</v>
      </c>
      <c r="G211" s="7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25">
      <c r="A212" s="1">
        <v>2007</v>
      </c>
      <c r="B212" s="17">
        <v>7</v>
      </c>
      <c r="C212" s="15">
        <v>-3.1004999999999998</v>
      </c>
      <c r="D212" s="10">
        <v>-3.5413899999999998</v>
      </c>
      <c r="E212" s="10">
        <v>7.4603200000000003</v>
      </c>
      <c r="F212" s="10">
        <v>-24.270190000000003</v>
      </c>
      <c r="G212" s="7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25">
      <c r="A213" s="1">
        <v>2007</v>
      </c>
      <c r="B213" s="17">
        <v>8</v>
      </c>
      <c r="C213" s="15">
        <v>1.49901</v>
      </c>
      <c r="D213" s="10">
        <v>3.0731400000000004</v>
      </c>
      <c r="E213" s="10">
        <v>-6.2684199999999999</v>
      </c>
      <c r="F213" s="10">
        <v>-5.5118599999999995</v>
      </c>
      <c r="G213" s="7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25">
      <c r="A214" s="1">
        <v>2007</v>
      </c>
      <c r="B214" s="17">
        <v>9</v>
      </c>
      <c r="C214" s="15">
        <v>3.7398799999999994</v>
      </c>
      <c r="D214" s="10">
        <v>3.4971200000000002</v>
      </c>
      <c r="E214" s="10">
        <v>8.4729099999999988</v>
      </c>
      <c r="F214" s="10">
        <v>-13.183720000000001</v>
      </c>
      <c r="G214" s="7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25">
      <c r="A215" s="1">
        <v>2007</v>
      </c>
      <c r="B215" s="17">
        <v>10</v>
      </c>
      <c r="C215" s="15">
        <v>1.5907</v>
      </c>
      <c r="D215" s="10">
        <v>4.5224000000000002</v>
      </c>
      <c r="E215" s="10">
        <v>-6.1958199999999994</v>
      </c>
      <c r="F215" s="10">
        <v>-0.29360999999999998</v>
      </c>
      <c r="G215" s="7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25">
      <c r="A216" s="1">
        <v>2007</v>
      </c>
      <c r="B216" s="17">
        <v>11</v>
      </c>
      <c r="C216" s="15">
        <v>-4.1806599999999996</v>
      </c>
      <c r="D216" s="10">
        <v>-0.36964999999999998</v>
      </c>
      <c r="E216" s="10">
        <v>-5.8815200000000001</v>
      </c>
      <c r="F216" s="10">
        <v>-9.1688700000000019</v>
      </c>
      <c r="G216" s="7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25">
      <c r="A217" s="1">
        <v>2007</v>
      </c>
      <c r="B217" s="17">
        <v>12</v>
      </c>
      <c r="C217" s="15">
        <v>-0.69377</v>
      </c>
      <c r="D217" s="10">
        <v>-2.4285099999999997</v>
      </c>
      <c r="E217" s="10">
        <v>-5.5895199999999994</v>
      </c>
      <c r="F217" s="10">
        <v>-8.9648700000000012</v>
      </c>
      <c r="G217" s="7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25">
      <c r="A218" s="1">
        <v>2008</v>
      </c>
      <c r="B218" s="17">
        <v>1</v>
      </c>
      <c r="C218" s="15">
        <v>-5.9981600000000004</v>
      </c>
      <c r="D218" s="10">
        <v>-8.3259500000000006</v>
      </c>
      <c r="E218" s="10">
        <v>-4.9936699999999998</v>
      </c>
      <c r="F218" s="10">
        <v>2.8062900000000002</v>
      </c>
      <c r="G218" s="7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25">
      <c r="A219" s="1">
        <v>2008</v>
      </c>
      <c r="B219" s="17">
        <v>2</v>
      </c>
      <c r="C219" s="15">
        <v>-3.24858</v>
      </c>
      <c r="D219" s="10">
        <v>-3.3763899999999998</v>
      </c>
      <c r="E219" s="10">
        <v>-8.7980000000000003E-2</v>
      </c>
      <c r="F219" s="10">
        <v>0.47637000000000002</v>
      </c>
      <c r="G219" s="7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25">
      <c r="A220" s="1">
        <v>2008</v>
      </c>
      <c r="B220" s="17">
        <v>3</v>
      </c>
      <c r="C220" s="15">
        <v>-0.43179000000000006</v>
      </c>
      <c r="D220" s="10">
        <v>1.6350899999999999</v>
      </c>
      <c r="E220" s="10">
        <v>-10.270310000000002</v>
      </c>
      <c r="F220" s="10">
        <v>-6.9767899999999994</v>
      </c>
      <c r="G220" s="7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25">
      <c r="A221" s="1">
        <v>2008</v>
      </c>
      <c r="B221" s="17">
        <v>4</v>
      </c>
      <c r="C221" s="15">
        <v>4.8703099999999999</v>
      </c>
      <c r="D221" s="10">
        <v>7.1063400000000003</v>
      </c>
      <c r="E221" s="10">
        <v>14.005149999999999</v>
      </c>
      <c r="F221" s="10">
        <v>-14.561540000000001</v>
      </c>
      <c r="G221" s="7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25">
      <c r="A222" s="1">
        <v>2008</v>
      </c>
      <c r="B222" s="17">
        <v>5</v>
      </c>
      <c r="C222" s="15">
        <v>1.2952600000000001</v>
      </c>
      <c r="D222" s="10">
        <v>-4.3348199999999997</v>
      </c>
      <c r="E222" s="10">
        <v>-2.0915199999999996</v>
      </c>
      <c r="F222" s="10">
        <v>5.2956799999999999</v>
      </c>
      <c r="G222" s="7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25">
      <c r="A223" s="1">
        <v>2008</v>
      </c>
      <c r="B223" s="17">
        <v>6</v>
      </c>
      <c r="C223" s="15">
        <v>-8.4303600000000003</v>
      </c>
      <c r="D223" s="10">
        <v>-5.0610200000000001</v>
      </c>
      <c r="E223" s="10">
        <v>-20.699250000000003</v>
      </c>
      <c r="F223" s="10">
        <v>-16.34573</v>
      </c>
      <c r="G223" s="7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25">
      <c r="A224" s="1">
        <v>2008</v>
      </c>
      <c r="B224" s="17">
        <v>7</v>
      </c>
      <c r="C224" s="15">
        <v>-0.84062000000000003</v>
      </c>
      <c r="D224" s="10">
        <v>-1.9145700000000001</v>
      </c>
      <c r="E224" s="10">
        <v>-7.1146099999999999</v>
      </c>
      <c r="F224" s="10">
        <v>35.841320000000003</v>
      </c>
      <c r="G224" s="7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25">
      <c r="A225" s="1">
        <v>2008</v>
      </c>
      <c r="B225" s="17">
        <v>8</v>
      </c>
      <c r="C225" s="15">
        <v>1.4464699999999999</v>
      </c>
      <c r="D225" s="10">
        <v>-0.22658</v>
      </c>
      <c r="E225" s="10">
        <v>7.8365100000000005</v>
      </c>
      <c r="F225" s="10">
        <v>13.868829999999999</v>
      </c>
      <c r="G225" s="7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25">
      <c r="A226" s="1">
        <v>2008</v>
      </c>
      <c r="B226" s="17">
        <v>9</v>
      </c>
      <c r="C226" s="15">
        <v>-8.9107299999999992</v>
      </c>
      <c r="D226" s="10">
        <v>-5.24857</v>
      </c>
      <c r="E226" s="10">
        <v>-12.622880000000002</v>
      </c>
      <c r="F226" s="10">
        <v>-9.200470000000001</v>
      </c>
      <c r="G226" s="7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25">
      <c r="A227" s="1">
        <v>2008</v>
      </c>
      <c r="B227" s="17">
        <v>10</v>
      </c>
      <c r="C227" s="15">
        <v>-16.794789999999999</v>
      </c>
      <c r="D227" s="10">
        <v>-11.982260000000002</v>
      </c>
      <c r="E227" s="10">
        <v>-8.6963400000000011</v>
      </c>
      <c r="F227" s="10">
        <v>-26.836110000000001</v>
      </c>
      <c r="G227" s="7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25">
      <c r="A228" s="1">
        <v>2008</v>
      </c>
      <c r="B228" s="17">
        <v>11</v>
      </c>
      <c r="C228" s="15">
        <v>-7.1754600000000002</v>
      </c>
      <c r="D228" s="10">
        <v>-2.9501399999999998</v>
      </c>
      <c r="E228" s="10">
        <v>-18.013010000000001</v>
      </c>
      <c r="F228" s="10">
        <v>-20.321170000000002</v>
      </c>
      <c r="G228" s="7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25">
      <c r="A229" s="1">
        <v>2008</v>
      </c>
      <c r="B229" s="17">
        <v>12</v>
      </c>
      <c r="C229" s="15">
        <v>1.06403</v>
      </c>
      <c r="D229" s="10">
        <v>6.2598600000000006</v>
      </c>
      <c r="E229" s="10">
        <v>-6.1700000000000088E-3</v>
      </c>
      <c r="F229" s="10">
        <v>21.118269999999999</v>
      </c>
      <c r="G229" s="7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25">
      <c r="A230" s="1">
        <v>2009</v>
      </c>
      <c r="B230" s="17">
        <v>1</v>
      </c>
      <c r="C230" s="15">
        <v>-8.4286399999999997</v>
      </c>
      <c r="D230" s="10">
        <v>-5.8992800000000001</v>
      </c>
      <c r="E230" s="10">
        <v>-0.94368000000000007</v>
      </c>
      <c r="F230" s="10">
        <v>-4.1200999999999999</v>
      </c>
      <c r="G230" s="7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25">
      <c r="A231" s="1">
        <v>2009</v>
      </c>
      <c r="B231" s="17">
        <v>2</v>
      </c>
      <c r="C231" s="15">
        <v>-10.647779999999999</v>
      </c>
      <c r="D231" s="10">
        <v>-9.318500000000002</v>
      </c>
      <c r="E231" s="10">
        <v>-24.798650000000002</v>
      </c>
      <c r="F231" s="10">
        <v>-36.138389999999994</v>
      </c>
      <c r="G231" s="7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25">
      <c r="A232" s="1">
        <v>2009</v>
      </c>
      <c r="B232" s="17">
        <v>3</v>
      </c>
      <c r="C232" s="15">
        <v>8.7595200000000002</v>
      </c>
      <c r="D232" s="10">
        <v>-10.046520000000001</v>
      </c>
      <c r="E232" s="10">
        <v>13.067939999999998</v>
      </c>
      <c r="F232" s="10">
        <v>16.816779999999998</v>
      </c>
      <c r="G232" s="7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25">
      <c r="A233" s="1">
        <v>2009</v>
      </c>
      <c r="B233" s="17">
        <v>4</v>
      </c>
      <c r="C233" s="15">
        <v>9.5709400000000002</v>
      </c>
      <c r="D233" s="10">
        <v>4.3338900000000002</v>
      </c>
      <c r="E233" s="10">
        <v>12.463239999999999</v>
      </c>
      <c r="F233" s="10">
        <v>64.194050000000004</v>
      </c>
      <c r="G233" s="7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25">
      <c r="A234" s="1">
        <v>2009</v>
      </c>
      <c r="B234" s="17">
        <v>5</v>
      </c>
      <c r="C234" s="15">
        <v>5.5932899999999997</v>
      </c>
      <c r="D234" s="10">
        <v>1.3025799999999998</v>
      </c>
      <c r="E234" s="10">
        <v>12.933709999999998</v>
      </c>
      <c r="F234" s="10">
        <v>-4.6454599999999999</v>
      </c>
      <c r="G234" s="7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25">
      <c r="A235" s="1">
        <v>2009</v>
      </c>
      <c r="B235" s="17">
        <v>6</v>
      </c>
      <c r="C235" s="15">
        <v>0.19836000000000004</v>
      </c>
      <c r="D235" s="10">
        <v>9.5810899999999979</v>
      </c>
      <c r="E235" s="10">
        <v>-5.33969</v>
      </c>
      <c r="F235" s="10">
        <v>3.7690500000000005</v>
      </c>
      <c r="G235" s="7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25">
      <c r="A236" s="1">
        <v>2009</v>
      </c>
      <c r="B236" s="17">
        <v>7</v>
      </c>
      <c r="C236" s="15">
        <v>7.5637299999999987</v>
      </c>
      <c r="D236" s="10">
        <v>7.0651100000000007</v>
      </c>
      <c r="E236" s="10">
        <v>0.86470999999999987</v>
      </c>
      <c r="F236" s="10">
        <v>11.003149999999998</v>
      </c>
      <c r="G236" s="7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25">
      <c r="A237" s="1">
        <v>2009</v>
      </c>
      <c r="B237" s="17">
        <v>8</v>
      </c>
      <c r="C237" s="15">
        <v>3.61</v>
      </c>
      <c r="D237" s="10">
        <v>2.7423800000000003</v>
      </c>
      <c r="E237" s="10">
        <v>16.6327</v>
      </c>
      <c r="F237" s="10">
        <v>-2.5500299999999996</v>
      </c>
      <c r="G237" s="7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25">
      <c r="A238" s="1">
        <v>2009</v>
      </c>
      <c r="B238" s="17">
        <v>9</v>
      </c>
      <c r="C238" s="15">
        <v>3.73</v>
      </c>
      <c r="D238" s="10">
        <v>-1.4999400000000001</v>
      </c>
      <c r="E238" s="10">
        <v>8.9195299999999982</v>
      </c>
      <c r="F238" s="10">
        <v>9.4175199999999979</v>
      </c>
      <c r="G238" s="7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25">
      <c r="A239" s="1">
        <v>2009</v>
      </c>
      <c r="B239" s="17">
        <v>10</v>
      </c>
      <c r="C239" s="15">
        <v>-1.8599999999999999</v>
      </c>
      <c r="D239" s="10">
        <v>-2.5846699999999996</v>
      </c>
      <c r="E239" s="10">
        <v>-11.826690000000001</v>
      </c>
      <c r="F239" s="10">
        <v>1.8311999999999999</v>
      </c>
      <c r="G239" s="7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25">
      <c r="A240" s="1">
        <v>2009</v>
      </c>
      <c r="B240" s="17">
        <v>11</v>
      </c>
      <c r="C240" s="15">
        <v>6</v>
      </c>
      <c r="D240" s="10">
        <v>7.7755800000000006</v>
      </c>
      <c r="E240" s="10">
        <v>10.423009999999998</v>
      </c>
      <c r="F240" s="10">
        <v>13.043869999999998</v>
      </c>
      <c r="G240" s="7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25">
      <c r="A241" s="1">
        <v>2009</v>
      </c>
      <c r="B241" s="17">
        <v>12</v>
      </c>
      <c r="C241" s="15">
        <v>1.9300000000000002</v>
      </c>
      <c r="D241" s="10">
        <v>7.9770399999999997</v>
      </c>
      <c r="E241" s="10">
        <v>3.1818200000000005</v>
      </c>
      <c r="F241" s="10">
        <v>3.2934300000000003</v>
      </c>
      <c r="G241" s="7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773B2-0B77-4980-A71A-614E2B386E9E}">
  <dimension ref="A1:Z248"/>
  <sheetViews>
    <sheetView showGridLines="0" workbookViewId="0">
      <selection activeCell="I18" sqref="I18"/>
    </sheetView>
  </sheetViews>
  <sheetFormatPr defaultRowHeight="13.2" x14ac:dyDescent="0.25"/>
  <cols>
    <col min="1" max="1" width="22.21875" customWidth="1"/>
    <col min="4" max="4" width="6.88671875" customWidth="1"/>
    <col min="7" max="7" width="10.88671875" customWidth="1"/>
    <col min="8" max="8" width="6.77734375" customWidth="1"/>
    <col min="10" max="10" width="6.88671875" customWidth="1"/>
  </cols>
  <sheetData>
    <row r="1" spans="1:26" x14ac:dyDescent="0.25">
      <c r="A1" s="37" t="s">
        <v>79</v>
      </c>
      <c r="B1" s="37" t="s">
        <v>84</v>
      </c>
      <c r="E1" s="37" t="s">
        <v>85</v>
      </c>
      <c r="H1" s="37" t="s">
        <v>86</v>
      </c>
    </row>
    <row r="2" spans="1:26" x14ac:dyDescent="0.25">
      <c r="A2" s="36" t="s">
        <v>80</v>
      </c>
      <c r="B2">
        <v>0.45</v>
      </c>
      <c r="E2" s="36" t="s">
        <v>8</v>
      </c>
      <c r="F2" s="39">
        <f>Step5!J39</f>
        <v>0.39188267070163946</v>
      </c>
      <c r="G2" s="44"/>
      <c r="H2" s="39">
        <f>Step5!J38</f>
        <v>0.28716058070201089</v>
      </c>
    </row>
    <row r="3" spans="1:26" x14ac:dyDescent="0.25">
      <c r="A3" s="36" t="s">
        <v>81</v>
      </c>
      <c r="B3">
        <v>0.5</v>
      </c>
      <c r="E3" s="36" t="s">
        <v>11</v>
      </c>
      <c r="F3" s="39">
        <f>Step5!J20</f>
        <v>0.9415662908041087</v>
      </c>
      <c r="G3" s="44"/>
      <c r="H3" s="39">
        <f>Step5!J19</f>
        <v>0.11488725585028259</v>
      </c>
    </row>
    <row r="4" spans="1:26" x14ac:dyDescent="0.25">
      <c r="E4" s="36" t="s">
        <v>14</v>
      </c>
      <c r="F4" s="39">
        <f>Step5!J59</f>
        <v>1.3043172725900229</v>
      </c>
      <c r="G4" s="44"/>
      <c r="H4" s="39">
        <f>Step5!J58</f>
        <v>9.4613818047824205E-2</v>
      </c>
    </row>
    <row r="5" spans="1:26" x14ac:dyDescent="0.25">
      <c r="A5" s="36" t="s">
        <v>82</v>
      </c>
      <c r="B5">
        <v>5.5</v>
      </c>
    </row>
    <row r="6" spans="1:26" x14ac:dyDescent="0.25">
      <c r="A6" s="36" t="s">
        <v>83</v>
      </c>
      <c r="B6">
        <v>6</v>
      </c>
    </row>
    <row r="8" spans="1:26" ht="12.75" customHeight="1" x14ac:dyDescent="0.25">
      <c r="A8" s="12"/>
      <c r="B8" s="12"/>
      <c r="C8" s="12"/>
      <c r="D8" s="13"/>
      <c r="E8" s="13"/>
      <c r="F8" s="13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2.75" customHeight="1" x14ac:dyDescent="0.25">
      <c r="A9" s="1"/>
      <c r="B9" s="1"/>
      <c r="C9" s="15"/>
      <c r="D9" s="26" t="s">
        <v>87</v>
      </c>
      <c r="H9" s="66" t="s">
        <v>89</v>
      </c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2.75" customHeight="1" x14ac:dyDescent="0.25">
      <c r="A10" s="1"/>
      <c r="B10" s="1"/>
      <c r="C10" s="15"/>
      <c r="D10" s="37" t="s">
        <v>8</v>
      </c>
      <c r="E10" s="14" t="s">
        <v>11</v>
      </c>
      <c r="F10" s="14" t="s">
        <v>14</v>
      </c>
      <c r="H10" s="37" t="s">
        <v>8</v>
      </c>
      <c r="I10" s="14" t="s">
        <v>11</v>
      </c>
      <c r="J10" s="14" t="s">
        <v>14</v>
      </c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2.75" customHeight="1" x14ac:dyDescent="0.25">
      <c r="A11" s="1"/>
      <c r="B11" s="1"/>
      <c r="C11" s="15"/>
      <c r="D11" s="70">
        <f>B2+F2*(B3-B2)</f>
        <v>0.469594133535082</v>
      </c>
      <c r="E11" s="70">
        <f>B2+F3*(B3-B2)</f>
        <v>0.49707831454020546</v>
      </c>
      <c r="F11" s="70">
        <f>B2+F4*(B3-B2)</f>
        <v>0.51521586362950111</v>
      </c>
      <c r="H11" s="68">
        <f>'Step1 '!E1</f>
        <v>0.58285283333333349</v>
      </c>
      <c r="I11" s="69">
        <f>'Step1 '!F1</f>
        <v>0.82533933333333287</v>
      </c>
      <c r="J11" s="69">
        <f>'Step1 '!G1</f>
        <v>1.0787770416666664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ht="12.75" customHeight="1" x14ac:dyDescent="0.25">
      <c r="A12" s="1"/>
      <c r="B12" s="1"/>
      <c r="C12" s="15"/>
      <c r="H12" s="16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ht="12.75" customHeight="1" x14ac:dyDescent="0.25">
      <c r="A13" s="1"/>
      <c r="B13" s="1"/>
      <c r="C13" s="15"/>
      <c r="D13" s="26" t="s">
        <v>88</v>
      </c>
      <c r="H13" s="37" t="s">
        <v>90</v>
      </c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ht="12.75" customHeight="1" x14ac:dyDescent="0.25">
      <c r="A14" s="1"/>
      <c r="B14" s="1"/>
      <c r="C14" s="15"/>
      <c r="D14" s="37" t="s">
        <v>8</v>
      </c>
      <c r="E14" s="14" t="s">
        <v>11</v>
      </c>
      <c r="F14" s="14" t="s">
        <v>14</v>
      </c>
      <c r="H14" s="37" t="s">
        <v>8</v>
      </c>
      <c r="I14" s="14" t="s">
        <v>11</v>
      </c>
      <c r="J14" s="14" t="s">
        <v>14</v>
      </c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ht="12.75" customHeight="1" x14ac:dyDescent="0.25">
      <c r="A15" s="1"/>
      <c r="B15" s="1"/>
      <c r="C15" s="15"/>
      <c r="D15" s="70">
        <f>$B$5+F2*($B$6-$B$5)</f>
        <v>5.6959413353508195</v>
      </c>
      <c r="E15" s="70">
        <f>$B$5+G2*($B$6-$B$5)</f>
        <v>5.5</v>
      </c>
      <c r="F15" s="70">
        <f>$B$5+H2*($B$6-$B$5)</f>
        <v>5.6435802903510055</v>
      </c>
      <c r="H15" s="67">
        <f>((1+(H11/100))^12-1)*100</f>
        <v>7.2228612798307168</v>
      </c>
      <c r="I15" s="67">
        <f t="shared" ref="I15:J15" si="0">((1+(I11/100))^12-1)*100</f>
        <v>10.366255452264017</v>
      </c>
      <c r="J15" s="67">
        <f t="shared" si="0"/>
        <v>13.741707777217238</v>
      </c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ht="12.75" customHeight="1" x14ac:dyDescent="0.25">
      <c r="A16" s="1"/>
      <c r="B16" s="1"/>
      <c r="C16" s="15"/>
      <c r="D16" s="10"/>
      <c r="E16" s="10"/>
      <c r="F16" s="10"/>
      <c r="G16" s="16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2.75" customHeight="1" x14ac:dyDescent="0.25">
      <c r="A17" s="1"/>
      <c r="B17" s="1"/>
      <c r="C17" s="15"/>
      <c r="D17" s="10"/>
      <c r="E17" s="10"/>
      <c r="F17" s="10"/>
      <c r="G17" s="16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2.75" customHeight="1" x14ac:dyDescent="0.25">
      <c r="A18" s="1"/>
      <c r="B18" s="1"/>
      <c r="C18" s="15"/>
      <c r="D18" s="10"/>
      <c r="E18" s="10"/>
      <c r="F18" s="10"/>
      <c r="G18" s="16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2.75" customHeight="1" x14ac:dyDescent="0.25">
      <c r="A19" s="1"/>
      <c r="B19" s="1"/>
      <c r="C19" s="15"/>
      <c r="D19" s="10"/>
      <c r="E19" s="10"/>
      <c r="F19" s="10"/>
      <c r="G19" s="16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2.75" customHeight="1" x14ac:dyDescent="0.25">
      <c r="A20" s="1"/>
      <c r="B20" s="1"/>
      <c r="C20" s="15"/>
      <c r="D20" s="10"/>
      <c r="E20" s="10"/>
      <c r="F20" s="10"/>
      <c r="G20" s="16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2.75" customHeight="1" x14ac:dyDescent="0.25">
      <c r="A21" s="1"/>
      <c r="B21" s="1"/>
      <c r="C21" s="15"/>
      <c r="D21" s="10"/>
      <c r="E21" s="10"/>
      <c r="F21" s="10"/>
      <c r="G21" s="16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2.75" customHeight="1" x14ac:dyDescent="0.25">
      <c r="A22" s="1"/>
      <c r="B22" s="1"/>
      <c r="C22" s="15"/>
      <c r="D22" s="10"/>
      <c r="E22" s="10"/>
      <c r="F22" s="10"/>
      <c r="G22" s="16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2.75" customHeight="1" x14ac:dyDescent="0.25">
      <c r="A23" s="1"/>
      <c r="B23" s="1"/>
      <c r="C23" s="15"/>
      <c r="D23" s="10"/>
      <c r="E23" s="10"/>
      <c r="F23" s="10"/>
      <c r="G23" s="16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2.75" customHeight="1" x14ac:dyDescent="0.25">
      <c r="A24" s="1"/>
      <c r="B24" s="1"/>
      <c r="C24" s="15"/>
      <c r="D24" s="10"/>
      <c r="E24" s="10"/>
      <c r="F24" s="10"/>
      <c r="G24" s="16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2.75" customHeight="1" x14ac:dyDescent="0.25">
      <c r="A25" s="1"/>
      <c r="B25" s="1"/>
      <c r="C25" s="15"/>
      <c r="D25" s="10"/>
      <c r="E25" s="10"/>
      <c r="F25" s="10"/>
      <c r="G25" s="16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2.75" customHeight="1" x14ac:dyDescent="0.25">
      <c r="A26" s="1"/>
      <c r="B26" s="1"/>
      <c r="C26" s="15"/>
      <c r="D26" s="10"/>
      <c r="E26" s="10"/>
      <c r="F26" s="10"/>
      <c r="G26" s="16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2.75" customHeight="1" x14ac:dyDescent="0.25">
      <c r="A27" s="1"/>
      <c r="B27" s="1"/>
      <c r="C27" s="15"/>
      <c r="D27" s="10"/>
      <c r="E27" s="10"/>
      <c r="F27" s="10"/>
      <c r="G27" s="16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2.75" customHeight="1" x14ac:dyDescent="0.25">
      <c r="A28" s="1"/>
      <c r="B28" s="1"/>
      <c r="C28" s="15"/>
      <c r="D28" s="10"/>
      <c r="E28" s="10"/>
      <c r="F28" s="10"/>
      <c r="G28" s="16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2.75" customHeight="1" x14ac:dyDescent="0.25">
      <c r="A29" s="1"/>
      <c r="B29" s="1"/>
      <c r="C29" s="15"/>
      <c r="D29" s="10"/>
      <c r="E29" s="10"/>
      <c r="F29" s="10"/>
      <c r="G29" s="16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2.75" customHeight="1" x14ac:dyDescent="0.25">
      <c r="A30" s="1"/>
      <c r="B30" s="1"/>
      <c r="C30" s="15"/>
      <c r="D30" s="10"/>
      <c r="E30" s="10"/>
      <c r="F30" s="10"/>
      <c r="G30" s="16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2.75" customHeight="1" x14ac:dyDescent="0.25">
      <c r="A31" s="1"/>
      <c r="B31" s="1"/>
      <c r="C31" s="15"/>
      <c r="D31" s="10"/>
      <c r="E31" s="10"/>
      <c r="F31" s="10"/>
      <c r="G31" s="16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2.75" customHeight="1" x14ac:dyDescent="0.25">
      <c r="A32" s="1"/>
      <c r="B32" s="1"/>
      <c r="C32" s="15"/>
      <c r="D32" s="10"/>
      <c r="E32" s="10"/>
      <c r="F32" s="10"/>
      <c r="G32" s="16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2.75" customHeight="1" x14ac:dyDescent="0.25">
      <c r="A33" s="1"/>
      <c r="B33" s="1"/>
      <c r="C33" s="15"/>
      <c r="D33" s="10"/>
      <c r="E33" s="10"/>
      <c r="F33" s="10"/>
      <c r="G33" s="16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2.75" customHeight="1" x14ac:dyDescent="0.25">
      <c r="A34" s="1"/>
      <c r="B34" s="1"/>
      <c r="C34" s="15"/>
      <c r="D34" s="10"/>
      <c r="E34" s="10"/>
      <c r="F34" s="10"/>
      <c r="G34" s="16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ht="12.75" customHeight="1" x14ac:dyDescent="0.25">
      <c r="A35" s="1"/>
      <c r="B35" s="1"/>
      <c r="C35" s="15"/>
      <c r="D35" s="10"/>
      <c r="E35" s="10"/>
      <c r="F35" s="10"/>
      <c r="G35" s="16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ht="12.75" customHeight="1" x14ac:dyDescent="0.25">
      <c r="A36" s="1"/>
      <c r="B36" s="1"/>
      <c r="C36" s="15"/>
      <c r="D36" s="10"/>
      <c r="E36" s="10"/>
      <c r="F36" s="10"/>
      <c r="G36" s="16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ht="12.75" customHeight="1" x14ac:dyDescent="0.25">
      <c r="A37" s="1"/>
      <c r="B37" s="1"/>
      <c r="C37" s="15"/>
      <c r="D37" s="10"/>
      <c r="E37" s="10"/>
      <c r="F37" s="10"/>
      <c r="G37" s="16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ht="12.75" customHeight="1" x14ac:dyDescent="0.25">
      <c r="A38" s="1"/>
      <c r="B38" s="1"/>
      <c r="C38" s="15"/>
      <c r="D38" s="10"/>
      <c r="E38" s="10"/>
      <c r="F38" s="10"/>
      <c r="G38" s="16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ht="12.75" customHeight="1" x14ac:dyDescent="0.25">
      <c r="A39" s="1"/>
      <c r="B39" s="1"/>
      <c r="C39" s="15"/>
      <c r="D39" s="10"/>
      <c r="E39" s="10"/>
      <c r="F39" s="10"/>
      <c r="G39" s="16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ht="12.75" customHeight="1" x14ac:dyDescent="0.25">
      <c r="A40" s="1"/>
      <c r="B40" s="1"/>
      <c r="C40" s="15"/>
      <c r="D40" s="10"/>
      <c r="E40" s="10"/>
      <c r="F40" s="10"/>
      <c r="G40" s="16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ht="12.75" customHeight="1" x14ac:dyDescent="0.25">
      <c r="A41" s="1"/>
      <c r="B41" s="1"/>
      <c r="C41" s="15"/>
      <c r="D41" s="10"/>
      <c r="E41" s="10"/>
      <c r="F41" s="10"/>
      <c r="G41" s="16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ht="12.75" customHeight="1" x14ac:dyDescent="0.25">
      <c r="A42" s="1"/>
      <c r="B42" s="1"/>
      <c r="C42" s="15"/>
      <c r="D42" s="10"/>
      <c r="E42" s="10"/>
      <c r="F42" s="10"/>
      <c r="G42" s="16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ht="12.75" customHeight="1" x14ac:dyDescent="0.25">
      <c r="A43" s="1"/>
      <c r="B43" s="1"/>
      <c r="C43" s="15"/>
      <c r="D43" s="10"/>
      <c r="E43" s="10"/>
      <c r="F43" s="10"/>
      <c r="G43" s="16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ht="12.75" customHeight="1" x14ac:dyDescent="0.25">
      <c r="A44" s="1"/>
      <c r="B44" s="1"/>
      <c r="C44" s="15"/>
      <c r="D44" s="10"/>
      <c r="E44" s="10"/>
      <c r="F44" s="10"/>
      <c r="G44" s="16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ht="12.75" customHeight="1" x14ac:dyDescent="0.25">
      <c r="A45" s="1"/>
      <c r="B45" s="1"/>
      <c r="C45" s="15"/>
      <c r="D45" s="10"/>
      <c r="E45" s="10"/>
      <c r="F45" s="10"/>
      <c r="G45" s="16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ht="12.75" customHeight="1" x14ac:dyDescent="0.25">
      <c r="A46" s="1"/>
      <c r="B46" s="1"/>
      <c r="C46" s="15"/>
      <c r="D46" s="10"/>
      <c r="E46" s="10"/>
      <c r="F46" s="10"/>
      <c r="G46" s="16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2.75" customHeight="1" x14ac:dyDescent="0.25">
      <c r="A47" s="1"/>
      <c r="B47" s="1"/>
      <c r="C47" s="15"/>
      <c r="D47" s="10"/>
      <c r="E47" s="10"/>
      <c r="F47" s="10"/>
      <c r="G47" s="16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2.75" customHeight="1" x14ac:dyDescent="0.25">
      <c r="A48" s="1"/>
      <c r="B48" s="1"/>
      <c r="C48" s="15"/>
      <c r="D48" s="10"/>
      <c r="E48" s="10"/>
      <c r="F48" s="10"/>
      <c r="G48" s="16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2.75" customHeight="1" x14ac:dyDescent="0.25">
      <c r="A49" s="1"/>
      <c r="B49" s="1"/>
      <c r="C49" s="15"/>
      <c r="D49" s="10"/>
      <c r="E49" s="10"/>
      <c r="F49" s="10"/>
      <c r="G49" s="16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2.75" customHeight="1" x14ac:dyDescent="0.25">
      <c r="A50" s="1"/>
      <c r="B50" s="1"/>
      <c r="C50" s="15"/>
      <c r="D50" s="10"/>
      <c r="E50" s="10"/>
      <c r="F50" s="10"/>
      <c r="G50" s="16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2.75" customHeight="1" x14ac:dyDescent="0.25">
      <c r="A51" s="1"/>
      <c r="B51" s="1"/>
      <c r="C51" s="15"/>
      <c r="D51" s="10"/>
      <c r="E51" s="10"/>
      <c r="F51" s="10"/>
      <c r="G51" s="16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2.75" customHeight="1" x14ac:dyDescent="0.25">
      <c r="A52" s="1"/>
      <c r="B52" s="1"/>
      <c r="C52" s="15"/>
      <c r="D52" s="10"/>
      <c r="E52" s="10"/>
      <c r="F52" s="10"/>
      <c r="G52" s="16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2.75" customHeight="1" x14ac:dyDescent="0.25">
      <c r="A53" s="1"/>
      <c r="B53" s="1"/>
      <c r="C53" s="15"/>
      <c r="D53" s="10"/>
      <c r="E53" s="10"/>
      <c r="F53" s="10"/>
      <c r="G53" s="16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2.75" customHeight="1" x14ac:dyDescent="0.25">
      <c r="A54" s="1"/>
      <c r="B54" s="1"/>
      <c r="C54" s="15"/>
      <c r="D54" s="10"/>
      <c r="E54" s="10"/>
      <c r="F54" s="10"/>
      <c r="G54" s="16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2.75" customHeight="1" x14ac:dyDescent="0.25">
      <c r="A55" s="1"/>
      <c r="B55" s="1"/>
      <c r="C55" s="15"/>
      <c r="D55" s="10"/>
      <c r="E55" s="10"/>
      <c r="F55" s="10"/>
      <c r="G55" s="16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2.75" customHeight="1" x14ac:dyDescent="0.25">
      <c r="A56" s="1"/>
      <c r="B56" s="1"/>
      <c r="C56" s="15"/>
      <c r="D56" s="10"/>
      <c r="E56" s="10"/>
      <c r="F56" s="10"/>
      <c r="G56" s="16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2.75" customHeight="1" x14ac:dyDescent="0.25">
      <c r="A57" s="1"/>
      <c r="B57" s="1"/>
      <c r="C57" s="15"/>
      <c r="D57" s="10"/>
      <c r="E57" s="10"/>
      <c r="F57" s="10"/>
      <c r="G57" s="16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2.75" customHeight="1" x14ac:dyDescent="0.25">
      <c r="A58" s="1"/>
      <c r="B58" s="1"/>
      <c r="C58" s="15"/>
      <c r="D58" s="10"/>
      <c r="E58" s="10"/>
      <c r="F58" s="10"/>
      <c r="G58" s="16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2.75" customHeight="1" x14ac:dyDescent="0.25">
      <c r="A59" s="1"/>
      <c r="B59" s="1"/>
      <c r="C59" s="15"/>
      <c r="D59" s="10"/>
      <c r="E59" s="10"/>
      <c r="F59" s="10"/>
      <c r="G59" s="16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2.75" customHeight="1" x14ac:dyDescent="0.25">
      <c r="A60" s="1"/>
      <c r="B60" s="1"/>
      <c r="C60" s="15"/>
      <c r="D60" s="10"/>
      <c r="E60" s="10"/>
      <c r="F60" s="10"/>
      <c r="G60" s="16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2.75" customHeight="1" x14ac:dyDescent="0.25">
      <c r="A61" s="1"/>
      <c r="B61" s="1"/>
      <c r="C61" s="15"/>
      <c r="D61" s="10"/>
      <c r="E61" s="10"/>
      <c r="F61" s="10"/>
      <c r="G61" s="16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2.75" customHeight="1" x14ac:dyDescent="0.25">
      <c r="A62" s="1"/>
      <c r="B62" s="1"/>
      <c r="C62" s="15"/>
      <c r="D62" s="10"/>
      <c r="E62" s="10"/>
      <c r="F62" s="10"/>
      <c r="G62" s="16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2.75" customHeight="1" x14ac:dyDescent="0.25">
      <c r="A63" s="1"/>
      <c r="B63" s="1"/>
      <c r="C63" s="15"/>
      <c r="D63" s="10"/>
      <c r="E63" s="10"/>
      <c r="F63" s="10"/>
      <c r="G63" s="16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2.75" customHeight="1" x14ac:dyDescent="0.25">
      <c r="A64" s="1"/>
      <c r="B64" s="1"/>
      <c r="C64" s="15"/>
      <c r="D64" s="10"/>
      <c r="E64" s="10"/>
      <c r="F64" s="10"/>
      <c r="G64" s="16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2.75" customHeight="1" x14ac:dyDescent="0.25">
      <c r="A65" s="1"/>
      <c r="B65" s="1"/>
      <c r="C65" s="15"/>
      <c r="D65" s="10"/>
      <c r="E65" s="10"/>
      <c r="F65" s="10"/>
      <c r="G65" s="16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2.75" customHeight="1" x14ac:dyDescent="0.25">
      <c r="A66" s="1"/>
      <c r="B66" s="1"/>
      <c r="C66" s="15"/>
      <c r="D66" s="10"/>
      <c r="E66" s="10"/>
      <c r="F66" s="10"/>
      <c r="G66" s="16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2.75" customHeight="1" x14ac:dyDescent="0.25">
      <c r="A67" s="1"/>
      <c r="B67" s="1"/>
      <c r="C67" s="15"/>
      <c r="D67" s="10"/>
      <c r="E67" s="10"/>
      <c r="F67" s="10"/>
      <c r="G67" s="16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2.75" customHeight="1" x14ac:dyDescent="0.25">
      <c r="A68" s="1"/>
      <c r="B68" s="1"/>
      <c r="C68" s="15"/>
      <c r="D68" s="10"/>
      <c r="E68" s="10"/>
      <c r="F68" s="10"/>
      <c r="G68" s="16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2.75" customHeight="1" x14ac:dyDescent="0.25">
      <c r="A69" s="1"/>
      <c r="B69" s="1"/>
      <c r="C69" s="15"/>
      <c r="D69" s="10"/>
      <c r="E69" s="10"/>
      <c r="F69" s="10"/>
      <c r="G69" s="16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2.75" customHeight="1" x14ac:dyDescent="0.25">
      <c r="A70" s="1"/>
      <c r="B70" s="1"/>
      <c r="C70" s="15"/>
      <c r="D70" s="10"/>
      <c r="E70" s="10"/>
      <c r="F70" s="10"/>
      <c r="G70" s="16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2.75" customHeight="1" x14ac:dyDescent="0.25">
      <c r="A71" s="1"/>
      <c r="B71" s="1"/>
      <c r="C71" s="15"/>
      <c r="D71" s="10"/>
      <c r="E71" s="10"/>
      <c r="F71" s="10"/>
      <c r="G71" s="16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2.75" customHeight="1" x14ac:dyDescent="0.25">
      <c r="A72" s="1"/>
      <c r="B72" s="1"/>
      <c r="C72" s="15"/>
      <c r="D72" s="10"/>
      <c r="E72" s="10"/>
      <c r="F72" s="10"/>
      <c r="G72" s="16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2.75" customHeight="1" x14ac:dyDescent="0.25">
      <c r="A73" s="1"/>
      <c r="B73" s="1"/>
      <c r="C73" s="15"/>
      <c r="D73" s="10"/>
      <c r="E73" s="10"/>
      <c r="F73" s="10"/>
      <c r="G73" s="16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2.75" customHeight="1" x14ac:dyDescent="0.25">
      <c r="A74" s="1"/>
      <c r="B74" s="1"/>
      <c r="C74" s="15"/>
      <c r="D74" s="10"/>
      <c r="E74" s="10"/>
      <c r="F74" s="10"/>
      <c r="G74" s="16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2.75" customHeight="1" x14ac:dyDescent="0.25">
      <c r="A75" s="1"/>
      <c r="B75" s="1"/>
      <c r="C75" s="15"/>
      <c r="D75" s="10"/>
      <c r="E75" s="10"/>
      <c r="F75" s="10"/>
      <c r="G75" s="16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2.75" customHeight="1" x14ac:dyDescent="0.25">
      <c r="A76" s="1"/>
      <c r="B76" s="1"/>
      <c r="C76" s="15"/>
      <c r="D76" s="10"/>
      <c r="E76" s="10"/>
      <c r="F76" s="10"/>
      <c r="G76" s="16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2.75" customHeight="1" x14ac:dyDescent="0.25">
      <c r="A77" s="1"/>
      <c r="B77" s="1"/>
      <c r="C77" s="15"/>
      <c r="D77" s="10"/>
      <c r="E77" s="10"/>
      <c r="F77" s="10"/>
      <c r="G77" s="16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2.75" customHeight="1" x14ac:dyDescent="0.25">
      <c r="A78" s="1"/>
      <c r="B78" s="1"/>
      <c r="C78" s="15"/>
      <c r="D78" s="10"/>
      <c r="E78" s="10"/>
      <c r="F78" s="10"/>
      <c r="G78" s="16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2.75" customHeight="1" x14ac:dyDescent="0.25">
      <c r="A79" s="1"/>
      <c r="B79" s="1"/>
      <c r="C79" s="15"/>
      <c r="D79" s="10"/>
      <c r="E79" s="10"/>
      <c r="F79" s="10"/>
      <c r="G79" s="16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2.75" customHeight="1" x14ac:dyDescent="0.25">
      <c r="A80" s="1"/>
      <c r="B80" s="1"/>
      <c r="C80" s="15"/>
      <c r="D80" s="10"/>
      <c r="E80" s="10"/>
      <c r="F80" s="10"/>
      <c r="G80" s="16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2.75" customHeight="1" x14ac:dyDescent="0.25">
      <c r="A81" s="1"/>
      <c r="B81" s="1"/>
      <c r="C81" s="15"/>
      <c r="D81" s="10"/>
      <c r="E81" s="10"/>
      <c r="F81" s="10"/>
      <c r="G81" s="16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2.75" customHeight="1" x14ac:dyDescent="0.25">
      <c r="A82" s="1"/>
      <c r="B82" s="1"/>
      <c r="C82" s="15"/>
      <c r="D82" s="10"/>
      <c r="E82" s="10"/>
      <c r="F82" s="10"/>
      <c r="G82" s="16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2.75" customHeight="1" x14ac:dyDescent="0.25">
      <c r="A83" s="1"/>
      <c r="B83" s="1"/>
      <c r="C83" s="15"/>
      <c r="D83" s="10"/>
      <c r="E83" s="10"/>
      <c r="F83" s="10"/>
      <c r="G83" s="16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2.75" customHeight="1" x14ac:dyDescent="0.25">
      <c r="A84" s="1"/>
      <c r="B84" s="1"/>
      <c r="C84" s="15"/>
      <c r="D84" s="10"/>
      <c r="E84" s="10"/>
      <c r="F84" s="10"/>
      <c r="G84" s="16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2.75" customHeight="1" x14ac:dyDescent="0.25">
      <c r="A85" s="1"/>
      <c r="B85" s="1"/>
      <c r="C85" s="15"/>
      <c r="D85" s="10"/>
      <c r="E85" s="10"/>
      <c r="F85" s="10"/>
      <c r="G85" s="16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2.75" customHeight="1" x14ac:dyDescent="0.25">
      <c r="A86" s="1"/>
      <c r="B86" s="1"/>
      <c r="C86" s="15"/>
      <c r="D86" s="10"/>
      <c r="E86" s="10"/>
      <c r="F86" s="10"/>
      <c r="G86" s="16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2.75" customHeight="1" x14ac:dyDescent="0.25">
      <c r="A87" s="1"/>
      <c r="B87" s="1"/>
      <c r="C87" s="15"/>
      <c r="D87" s="10"/>
      <c r="E87" s="10"/>
      <c r="F87" s="10"/>
      <c r="G87" s="16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2.75" customHeight="1" x14ac:dyDescent="0.25">
      <c r="A88" s="1"/>
      <c r="B88" s="1"/>
      <c r="C88" s="15"/>
      <c r="D88" s="10"/>
      <c r="E88" s="10"/>
      <c r="F88" s="10"/>
      <c r="G88" s="16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2.75" customHeight="1" x14ac:dyDescent="0.25">
      <c r="A89" s="1"/>
      <c r="B89" s="1"/>
      <c r="C89" s="15"/>
      <c r="D89" s="10"/>
      <c r="E89" s="10"/>
      <c r="F89" s="10"/>
      <c r="G89" s="16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2.75" customHeight="1" x14ac:dyDescent="0.25">
      <c r="A90" s="1"/>
      <c r="B90" s="1"/>
      <c r="C90" s="15"/>
      <c r="D90" s="10"/>
      <c r="E90" s="10"/>
      <c r="F90" s="10"/>
      <c r="G90" s="16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2.75" customHeight="1" x14ac:dyDescent="0.25">
      <c r="A91" s="1"/>
      <c r="B91" s="1"/>
      <c r="C91" s="15"/>
      <c r="D91" s="10"/>
      <c r="E91" s="10"/>
      <c r="F91" s="10"/>
      <c r="G91" s="16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2.75" customHeight="1" x14ac:dyDescent="0.25">
      <c r="A92" s="1"/>
      <c r="B92" s="1"/>
      <c r="C92" s="15"/>
      <c r="D92" s="10"/>
      <c r="E92" s="10"/>
      <c r="F92" s="10"/>
      <c r="G92" s="16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2.75" customHeight="1" x14ac:dyDescent="0.25">
      <c r="A93" s="1"/>
      <c r="B93" s="1"/>
      <c r="C93" s="15"/>
      <c r="D93" s="10"/>
      <c r="E93" s="10"/>
      <c r="F93" s="10"/>
      <c r="G93" s="16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2.75" customHeight="1" x14ac:dyDescent="0.25">
      <c r="A94" s="1"/>
      <c r="B94" s="1"/>
      <c r="C94" s="15"/>
      <c r="D94" s="10"/>
      <c r="E94" s="10"/>
      <c r="F94" s="10"/>
      <c r="G94" s="16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2.75" customHeight="1" x14ac:dyDescent="0.25">
      <c r="A95" s="1"/>
      <c r="B95" s="1"/>
      <c r="C95" s="15"/>
      <c r="D95" s="10"/>
      <c r="E95" s="10"/>
      <c r="F95" s="10"/>
      <c r="G95" s="16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2.75" customHeight="1" x14ac:dyDescent="0.25">
      <c r="A96" s="1"/>
      <c r="B96" s="1"/>
      <c r="C96" s="15"/>
      <c r="D96" s="10"/>
      <c r="E96" s="10"/>
      <c r="F96" s="10"/>
      <c r="G96" s="16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2.75" customHeight="1" x14ac:dyDescent="0.25">
      <c r="A97" s="1"/>
      <c r="B97" s="1"/>
      <c r="C97" s="15"/>
      <c r="D97" s="10"/>
      <c r="E97" s="10"/>
      <c r="F97" s="10"/>
      <c r="G97" s="16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2.75" customHeight="1" x14ac:dyDescent="0.25">
      <c r="A98" s="1"/>
      <c r="B98" s="1"/>
      <c r="C98" s="15"/>
      <c r="D98" s="10"/>
      <c r="E98" s="10"/>
      <c r="F98" s="10"/>
      <c r="G98" s="16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2.75" customHeight="1" x14ac:dyDescent="0.25">
      <c r="A99" s="1"/>
      <c r="B99" s="1"/>
      <c r="C99" s="15"/>
      <c r="D99" s="10"/>
      <c r="E99" s="10"/>
      <c r="F99" s="10"/>
      <c r="G99" s="16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2.75" customHeight="1" x14ac:dyDescent="0.25">
      <c r="A100" s="1"/>
      <c r="B100" s="1"/>
      <c r="C100" s="15"/>
      <c r="D100" s="10"/>
      <c r="E100" s="10"/>
      <c r="F100" s="10"/>
      <c r="G100" s="16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2.75" customHeight="1" x14ac:dyDescent="0.25">
      <c r="A101" s="1"/>
      <c r="B101" s="1"/>
      <c r="C101" s="15"/>
      <c r="D101" s="10"/>
      <c r="E101" s="10"/>
      <c r="F101" s="10"/>
      <c r="G101" s="16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2.75" customHeight="1" x14ac:dyDescent="0.25">
      <c r="A102" s="1"/>
      <c r="B102" s="1"/>
      <c r="C102" s="15"/>
      <c r="D102" s="10"/>
      <c r="E102" s="10"/>
      <c r="F102" s="10"/>
      <c r="G102" s="16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2.75" customHeight="1" x14ac:dyDescent="0.25">
      <c r="A103" s="1"/>
      <c r="B103" s="1"/>
      <c r="C103" s="15"/>
      <c r="D103" s="10"/>
      <c r="E103" s="10"/>
      <c r="F103" s="10"/>
      <c r="G103" s="16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2.75" customHeight="1" x14ac:dyDescent="0.25">
      <c r="A104" s="1"/>
      <c r="B104" s="1"/>
      <c r="C104" s="15"/>
      <c r="D104" s="10"/>
      <c r="E104" s="10"/>
      <c r="F104" s="10"/>
      <c r="G104" s="16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2.75" customHeight="1" x14ac:dyDescent="0.25">
      <c r="A105" s="1"/>
      <c r="B105" s="1"/>
      <c r="C105" s="15"/>
      <c r="D105" s="10"/>
      <c r="E105" s="10"/>
      <c r="F105" s="10"/>
      <c r="G105" s="16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2.75" customHeight="1" x14ac:dyDescent="0.25">
      <c r="A106" s="1"/>
      <c r="B106" s="1"/>
      <c r="C106" s="15"/>
      <c r="D106" s="10"/>
      <c r="E106" s="10"/>
      <c r="F106" s="10"/>
      <c r="G106" s="16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2.75" customHeight="1" x14ac:dyDescent="0.25">
      <c r="A107" s="1"/>
      <c r="B107" s="1"/>
      <c r="C107" s="15"/>
      <c r="D107" s="10"/>
      <c r="E107" s="10"/>
      <c r="F107" s="10"/>
      <c r="G107" s="16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2.75" customHeight="1" x14ac:dyDescent="0.25">
      <c r="A108" s="1"/>
      <c r="B108" s="1"/>
      <c r="C108" s="15"/>
      <c r="D108" s="10"/>
      <c r="E108" s="10"/>
      <c r="F108" s="10"/>
      <c r="G108" s="16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2.75" customHeight="1" x14ac:dyDescent="0.25">
      <c r="A109" s="1"/>
      <c r="B109" s="1"/>
      <c r="C109" s="15"/>
      <c r="D109" s="10"/>
      <c r="E109" s="10"/>
      <c r="F109" s="10"/>
      <c r="G109" s="16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2.75" customHeight="1" x14ac:dyDescent="0.25">
      <c r="A110" s="1"/>
      <c r="B110" s="1"/>
      <c r="C110" s="15"/>
      <c r="D110" s="10"/>
      <c r="E110" s="10"/>
      <c r="F110" s="10"/>
      <c r="G110" s="16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2.75" customHeight="1" x14ac:dyDescent="0.25">
      <c r="A111" s="1"/>
      <c r="B111" s="1"/>
      <c r="C111" s="15"/>
      <c r="D111" s="10"/>
      <c r="E111" s="10"/>
      <c r="F111" s="10"/>
      <c r="G111" s="16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2.75" customHeight="1" x14ac:dyDescent="0.25">
      <c r="A112" s="1"/>
      <c r="B112" s="1"/>
      <c r="C112" s="15"/>
      <c r="D112" s="10"/>
      <c r="E112" s="10"/>
      <c r="F112" s="10"/>
      <c r="G112" s="16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2.75" customHeight="1" x14ac:dyDescent="0.25">
      <c r="A113" s="1"/>
      <c r="B113" s="1"/>
      <c r="C113" s="15"/>
      <c r="D113" s="10"/>
      <c r="E113" s="10"/>
      <c r="F113" s="10"/>
      <c r="G113" s="16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2.75" customHeight="1" x14ac:dyDescent="0.25">
      <c r="A114" s="1"/>
      <c r="B114" s="1"/>
      <c r="C114" s="15"/>
      <c r="D114" s="10"/>
      <c r="E114" s="10"/>
      <c r="F114" s="10"/>
      <c r="G114" s="16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2.75" customHeight="1" x14ac:dyDescent="0.25">
      <c r="A115" s="1"/>
      <c r="B115" s="1"/>
      <c r="C115" s="15"/>
      <c r="D115" s="10"/>
      <c r="E115" s="10"/>
      <c r="F115" s="10"/>
      <c r="G115" s="16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2.75" customHeight="1" x14ac:dyDescent="0.25">
      <c r="A116" s="1"/>
      <c r="B116" s="1"/>
      <c r="C116" s="15"/>
      <c r="D116" s="10"/>
      <c r="E116" s="10"/>
      <c r="F116" s="10"/>
      <c r="G116" s="16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2.75" customHeight="1" x14ac:dyDescent="0.25">
      <c r="A117" s="1"/>
      <c r="B117" s="1"/>
      <c r="C117" s="15"/>
      <c r="D117" s="10"/>
      <c r="E117" s="10"/>
      <c r="F117" s="10"/>
      <c r="G117" s="16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2.75" customHeight="1" x14ac:dyDescent="0.25">
      <c r="A118" s="1"/>
      <c r="B118" s="1"/>
      <c r="C118" s="15"/>
      <c r="D118" s="10"/>
      <c r="E118" s="10"/>
      <c r="F118" s="10"/>
      <c r="G118" s="16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2.75" customHeight="1" x14ac:dyDescent="0.25">
      <c r="A119" s="1"/>
      <c r="B119" s="1"/>
      <c r="C119" s="15"/>
      <c r="D119" s="10"/>
      <c r="E119" s="10"/>
      <c r="F119" s="10"/>
      <c r="G119" s="16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2.75" customHeight="1" x14ac:dyDescent="0.25">
      <c r="A120" s="1"/>
      <c r="B120" s="1"/>
      <c r="C120" s="15"/>
      <c r="D120" s="10"/>
      <c r="E120" s="10"/>
      <c r="F120" s="10"/>
      <c r="G120" s="16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2.75" customHeight="1" x14ac:dyDescent="0.25">
      <c r="A121" s="1"/>
      <c r="B121" s="1"/>
      <c r="C121" s="15"/>
      <c r="D121" s="10"/>
      <c r="E121" s="10"/>
      <c r="F121" s="10"/>
      <c r="G121" s="16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2.75" customHeight="1" x14ac:dyDescent="0.25">
      <c r="A122" s="1"/>
      <c r="B122" s="1"/>
      <c r="C122" s="15"/>
      <c r="D122" s="10"/>
      <c r="E122" s="10"/>
      <c r="F122" s="10"/>
      <c r="G122" s="16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2.75" customHeight="1" x14ac:dyDescent="0.25">
      <c r="A123" s="1"/>
      <c r="B123" s="1"/>
      <c r="C123" s="15"/>
      <c r="D123" s="10"/>
      <c r="E123" s="10"/>
      <c r="F123" s="10"/>
      <c r="G123" s="16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2.75" customHeight="1" x14ac:dyDescent="0.25">
      <c r="A124" s="1"/>
      <c r="B124" s="1"/>
      <c r="C124" s="15"/>
      <c r="D124" s="10"/>
      <c r="E124" s="10"/>
      <c r="F124" s="10"/>
      <c r="G124" s="16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2.75" customHeight="1" x14ac:dyDescent="0.25">
      <c r="A125" s="1"/>
      <c r="B125" s="1"/>
      <c r="C125" s="15"/>
      <c r="D125" s="10"/>
      <c r="E125" s="10"/>
      <c r="F125" s="10"/>
      <c r="G125" s="16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2.75" customHeight="1" x14ac:dyDescent="0.25">
      <c r="A126" s="1"/>
      <c r="B126" s="1"/>
      <c r="C126" s="15"/>
      <c r="D126" s="10"/>
      <c r="E126" s="10"/>
      <c r="F126" s="10"/>
      <c r="G126" s="16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2.75" customHeight="1" x14ac:dyDescent="0.25">
      <c r="A127" s="1"/>
      <c r="B127" s="1"/>
      <c r="C127" s="15"/>
      <c r="D127" s="10"/>
      <c r="E127" s="10"/>
      <c r="F127" s="10"/>
      <c r="G127" s="16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2.75" customHeight="1" x14ac:dyDescent="0.25">
      <c r="A128" s="1"/>
      <c r="B128" s="1"/>
      <c r="C128" s="15"/>
      <c r="D128" s="10"/>
      <c r="E128" s="10"/>
      <c r="F128" s="10"/>
      <c r="G128" s="16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2.75" customHeight="1" x14ac:dyDescent="0.25">
      <c r="A129" s="1"/>
      <c r="B129" s="1"/>
      <c r="C129" s="15"/>
      <c r="D129" s="10"/>
      <c r="E129" s="10"/>
      <c r="F129" s="10"/>
      <c r="G129" s="16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2.75" customHeight="1" x14ac:dyDescent="0.25">
      <c r="A130" s="1"/>
      <c r="B130" s="1"/>
      <c r="C130" s="15"/>
      <c r="D130" s="10"/>
      <c r="E130" s="10"/>
      <c r="F130" s="10"/>
      <c r="G130" s="16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2.75" customHeight="1" x14ac:dyDescent="0.25">
      <c r="A131" s="1"/>
      <c r="B131" s="1"/>
      <c r="C131" s="15"/>
      <c r="D131" s="10"/>
      <c r="E131" s="10"/>
      <c r="F131" s="10"/>
      <c r="G131" s="16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2.75" customHeight="1" x14ac:dyDescent="0.25">
      <c r="A132" s="1"/>
      <c r="B132" s="1"/>
      <c r="C132" s="15"/>
      <c r="D132" s="10"/>
      <c r="E132" s="10"/>
      <c r="F132" s="10"/>
      <c r="G132" s="16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2.75" customHeight="1" x14ac:dyDescent="0.25">
      <c r="A133" s="1"/>
      <c r="B133" s="1"/>
      <c r="C133" s="15"/>
      <c r="D133" s="10"/>
      <c r="E133" s="10"/>
      <c r="F133" s="10"/>
      <c r="G133" s="16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2.75" customHeight="1" x14ac:dyDescent="0.25">
      <c r="A134" s="1"/>
      <c r="B134" s="1"/>
      <c r="C134" s="15"/>
      <c r="D134" s="10"/>
      <c r="E134" s="10"/>
      <c r="F134" s="10"/>
      <c r="G134" s="16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2.75" customHeight="1" x14ac:dyDescent="0.25">
      <c r="A135" s="1"/>
      <c r="B135" s="1"/>
      <c r="C135" s="15"/>
      <c r="D135" s="10"/>
      <c r="E135" s="10"/>
      <c r="F135" s="10"/>
      <c r="G135" s="16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2.75" customHeight="1" x14ac:dyDescent="0.25">
      <c r="A136" s="1"/>
      <c r="B136" s="1"/>
      <c r="C136" s="15"/>
      <c r="D136" s="10"/>
      <c r="E136" s="10"/>
      <c r="F136" s="10"/>
      <c r="G136" s="16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2.75" customHeight="1" x14ac:dyDescent="0.25">
      <c r="A137" s="1"/>
      <c r="B137" s="1"/>
      <c r="C137" s="15"/>
      <c r="D137" s="10"/>
      <c r="E137" s="10"/>
      <c r="F137" s="10"/>
      <c r="G137" s="16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2.75" customHeight="1" x14ac:dyDescent="0.25">
      <c r="A138" s="1"/>
      <c r="B138" s="1"/>
      <c r="C138" s="15"/>
      <c r="D138" s="10"/>
      <c r="E138" s="10"/>
      <c r="F138" s="10"/>
      <c r="G138" s="16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2.75" customHeight="1" x14ac:dyDescent="0.25">
      <c r="A139" s="1"/>
      <c r="B139" s="1"/>
      <c r="C139" s="15"/>
      <c r="D139" s="10"/>
      <c r="E139" s="10"/>
      <c r="F139" s="10"/>
      <c r="G139" s="16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2.75" customHeight="1" x14ac:dyDescent="0.25">
      <c r="A140" s="1"/>
      <c r="B140" s="1"/>
      <c r="C140" s="15"/>
      <c r="D140" s="10"/>
      <c r="E140" s="10"/>
      <c r="F140" s="10"/>
      <c r="G140" s="16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2.75" customHeight="1" x14ac:dyDescent="0.25">
      <c r="A141" s="1"/>
      <c r="B141" s="1"/>
      <c r="C141" s="15"/>
      <c r="D141" s="10"/>
      <c r="E141" s="10"/>
      <c r="F141" s="10"/>
      <c r="G141" s="16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2.75" customHeight="1" x14ac:dyDescent="0.25">
      <c r="A142" s="1"/>
      <c r="B142" s="1"/>
      <c r="C142" s="15"/>
      <c r="D142" s="10"/>
      <c r="E142" s="10"/>
      <c r="F142" s="10"/>
      <c r="G142" s="16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2.75" customHeight="1" x14ac:dyDescent="0.25">
      <c r="A143" s="1"/>
      <c r="B143" s="1"/>
      <c r="C143" s="15"/>
      <c r="D143" s="10"/>
      <c r="E143" s="10"/>
      <c r="F143" s="10"/>
      <c r="G143" s="16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2.75" customHeight="1" x14ac:dyDescent="0.25">
      <c r="A144" s="1"/>
      <c r="B144" s="1"/>
      <c r="C144" s="15"/>
      <c r="D144" s="10"/>
      <c r="E144" s="10"/>
      <c r="F144" s="10"/>
      <c r="G144" s="16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2.75" customHeight="1" x14ac:dyDescent="0.25">
      <c r="A145" s="1"/>
      <c r="B145" s="1"/>
      <c r="C145" s="15"/>
      <c r="D145" s="10"/>
      <c r="E145" s="10"/>
      <c r="F145" s="10"/>
      <c r="G145" s="16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2.75" customHeight="1" x14ac:dyDescent="0.25">
      <c r="A146" s="1"/>
      <c r="B146" s="1"/>
      <c r="C146" s="15"/>
      <c r="D146" s="10"/>
      <c r="E146" s="10"/>
      <c r="F146" s="10"/>
      <c r="G146" s="16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2.75" customHeight="1" x14ac:dyDescent="0.25">
      <c r="A147" s="1"/>
      <c r="B147" s="1"/>
      <c r="C147" s="15"/>
      <c r="D147" s="10"/>
      <c r="E147" s="10"/>
      <c r="F147" s="10"/>
      <c r="G147" s="16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2.75" customHeight="1" x14ac:dyDescent="0.25">
      <c r="A148" s="1"/>
      <c r="B148" s="17"/>
      <c r="C148" s="15"/>
      <c r="D148" s="10"/>
      <c r="E148" s="10"/>
      <c r="F148" s="10"/>
      <c r="G148" s="7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spans="1:26" ht="12.75" customHeight="1" x14ac:dyDescent="0.25">
      <c r="A149" s="1"/>
      <c r="B149" s="17"/>
      <c r="C149" s="15"/>
      <c r="D149" s="10"/>
      <c r="E149" s="10"/>
      <c r="F149" s="10"/>
      <c r="G149" s="7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25">
      <c r="A150" s="1"/>
      <c r="B150" s="17"/>
      <c r="C150" s="15"/>
      <c r="D150" s="10"/>
      <c r="E150" s="10"/>
      <c r="F150" s="10"/>
      <c r="G150" s="7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25">
      <c r="A151" s="1"/>
      <c r="B151" s="17"/>
      <c r="C151" s="15"/>
      <c r="D151" s="10"/>
      <c r="E151" s="10"/>
      <c r="F151" s="10"/>
      <c r="G151" s="7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25">
      <c r="A152" s="1"/>
      <c r="B152" s="17"/>
      <c r="C152" s="15"/>
      <c r="D152" s="10"/>
      <c r="E152" s="10"/>
      <c r="F152" s="10"/>
      <c r="G152" s="7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25">
      <c r="A153" s="1"/>
      <c r="B153" s="17"/>
      <c r="C153" s="15"/>
      <c r="D153" s="10"/>
      <c r="E153" s="10"/>
      <c r="F153" s="10"/>
      <c r="G153" s="7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25">
      <c r="A154" s="1"/>
      <c r="B154" s="17"/>
      <c r="C154" s="15"/>
      <c r="D154" s="10"/>
      <c r="E154" s="10"/>
      <c r="F154" s="10"/>
      <c r="G154" s="7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25">
      <c r="A155" s="1"/>
      <c r="B155" s="17"/>
      <c r="C155" s="15"/>
      <c r="D155" s="10"/>
      <c r="E155" s="10"/>
      <c r="F155" s="10"/>
      <c r="G155" s="7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25">
      <c r="A156" s="1"/>
      <c r="B156" s="17"/>
      <c r="C156" s="15"/>
      <c r="D156" s="10"/>
      <c r="E156" s="10"/>
      <c r="F156" s="10"/>
      <c r="G156" s="7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25">
      <c r="A157" s="1"/>
      <c r="B157" s="17"/>
      <c r="C157" s="15"/>
      <c r="D157" s="10"/>
      <c r="E157" s="10"/>
      <c r="F157" s="10"/>
      <c r="G157" s="7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25">
      <c r="A158" s="1"/>
      <c r="B158" s="17"/>
      <c r="C158" s="15"/>
      <c r="D158" s="10"/>
      <c r="E158" s="10"/>
      <c r="F158" s="10"/>
      <c r="G158" s="7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25">
      <c r="A159" s="1"/>
      <c r="B159" s="17"/>
      <c r="C159" s="15"/>
      <c r="D159" s="10"/>
      <c r="E159" s="10"/>
      <c r="F159" s="10"/>
      <c r="G159" s="7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25">
      <c r="A160" s="1"/>
      <c r="B160" s="17"/>
      <c r="C160" s="15"/>
      <c r="D160" s="10"/>
      <c r="E160" s="10"/>
      <c r="F160" s="10"/>
      <c r="G160" s="7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25">
      <c r="A161" s="1"/>
      <c r="B161" s="17"/>
      <c r="C161" s="15"/>
      <c r="D161" s="10"/>
      <c r="E161" s="10"/>
      <c r="F161" s="10"/>
      <c r="G161" s="7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25">
      <c r="A162" s="1"/>
      <c r="B162" s="17"/>
      <c r="C162" s="15"/>
      <c r="D162" s="10"/>
      <c r="E162" s="10"/>
      <c r="F162" s="10"/>
      <c r="G162" s="7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25">
      <c r="A163" s="1"/>
      <c r="B163" s="17"/>
      <c r="C163" s="15"/>
      <c r="D163" s="10"/>
      <c r="E163" s="10"/>
      <c r="F163" s="10"/>
      <c r="G163" s="7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25">
      <c r="A164" s="1"/>
      <c r="B164" s="17"/>
      <c r="C164" s="15"/>
      <c r="D164" s="10"/>
      <c r="E164" s="10"/>
      <c r="F164" s="10"/>
      <c r="G164" s="7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25">
      <c r="A165" s="1"/>
      <c r="B165" s="17"/>
      <c r="C165" s="15"/>
      <c r="D165" s="10"/>
      <c r="E165" s="10"/>
      <c r="F165" s="10"/>
      <c r="G165" s="7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25">
      <c r="A166" s="1"/>
      <c r="B166" s="17"/>
      <c r="C166" s="15"/>
      <c r="D166" s="10"/>
      <c r="E166" s="10"/>
      <c r="F166" s="10"/>
      <c r="G166" s="7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25">
      <c r="A167" s="1"/>
      <c r="B167" s="17"/>
      <c r="C167" s="15"/>
      <c r="D167" s="10"/>
      <c r="E167" s="10"/>
      <c r="F167" s="10"/>
      <c r="G167" s="7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25">
      <c r="A168" s="1"/>
      <c r="B168" s="17"/>
      <c r="C168" s="15"/>
      <c r="D168" s="10"/>
      <c r="E168" s="10"/>
      <c r="F168" s="10"/>
      <c r="G168" s="7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25">
      <c r="A169" s="1"/>
      <c r="B169" s="17"/>
      <c r="C169" s="15"/>
      <c r="D169" s="10"/>
      <c r="E169" s="10"/>
      <c r="F169" s="10"/>
      <c r="G169" s="7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25">
      <c r="A170" s="1"/>
      <c r="B170" s="17"/>
      <c r="C170" s="15"/>
      <c r="D170" s="10"/>
      <c r="E170" s="10"/>
      <c r="F170" s="10"/>
      <c r="G170" s="7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25">
      <c r="A171" s="1"/>
      <c r="B171" s="17"/>
      <c r="C171" s="15"/>
      <c r="D171" s="10"/>
      <c r="E171" s="10"/>
      <c r="F171" s="10"/>
      <c r="G171" s="7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25">
      <c r="A172" s="1"/>
      <c r="B172" s="17"/>
      <c r="C172" s="15"/>
      <c r="D172" s="10"/>
      <c r="E172" s="10"/>
      <c r="F172" s="10"/>
      <c r="G172" s="7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25">
      <c r="A173" s="1"/>
      <c r="B173" s="17"/>
      <c r="C173" s="15"/>
      <c r="D173" s="10"/>
      <c r="E173" s="10"/>
      <c r="F173" s="10"/>
      <c r="G173" s="7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25">
      <c r="A174" s="1"/>
      <c r="B174" s="17"/>
      <c r="C174" s="15"/>
      <c r="D174" s="10"/>
      <c r="E174" s="10"/>
      <c r="F174" s="10"/>
      <c r="G174" s="7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25">
      <c r="A175" s="1"/>
      <c r="B175" s="17"/>
      <c r="C175" s="15"/>
      <c r="D175" s="10"/>
      <c r="E175" s="10"/>
      <c r="F175" s="10"/>
      <c r="G175" s="7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25">
      <c r="A176" s="1"/>
      <c r="B176" s="17"/>
      <c r="C176" s="15"/>
      <c r="D176" s="10"/>
      <c r="E176" s="10"/>
      <c r="F176" s="10"/>
      <c r="G176" s="7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25">
      <c r="A177" s="1"/>
      <c r="B177" s="17"/>
      <c r="C177" s="15"/>
      <c r="D177" s="10"/>
      <c r="E177" s="10"/>
      <c r="F177" s="10"/>
      <c r="G177" s="7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25">
      <c r="A178" s="1"/>
      <c r="B178" s="17"/>
      <c r="C178" s="15"/>
      <c r="D178" s="10"/>
      <c r="E178" s="10"/>
      <c r="F178" s="10"/>
      <c r="G178" s="7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25">
      <c r="A179" s="1"/>
      <c r="B179" s="17"/>
      <c r="C179" s="15"/>
      <c r="D179" s="10"/>
      <c r="E179" s="10"/>
      <c r="F179" s="10"/>
      <c r="G179" s="7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25">
      <c r="A180" s="1"/>
      <c r="B180" s="17"/>
      <c r="C180" s="15"/>
      <c r="D180" s="10"/>
      <c r="E180" s="10"/>
      <c r="F180" s="10"/>
      <c r="G180" s="7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25">
      <c r="A181" s="1"/>
      <c r="B181" s="17"/>
      <c r="C181" s="15"/>
      <c r="D181" s="10"/>
      <c r="E181" s="10"/>
      <c r="F181" s="10"/>
      <c r="G181" s="7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25">
      <c r="A182" s="1"/>
      <c r="B182" s="17"/>
      <c r="C182" s="15"/>
      <c r="D182" s="10"/>
      <c r="E182" s="10"/>
      <c r="F182" s="10"/>
      <c r="G182" s="7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25">
      <c r="A183" s="1"/>
      <c r="B183" s="17"/>
      <c r="C183" s="15"/>
      <c r="D183" s="10"/>
      <c r="E183" s="10"/>
      <c r="F183" s="10"/>
      <c r="G183" s="7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25">
      <c r="A184" s="1"/>
      <c r="B184" s="17"/>
      <c r="C184" s="15"/>
      <c r="D184" s="10"/>
      <c r="E184" s="10"/>
      <c r="F184" s="10"/>
      <c r="G184" s="7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25">
      <c r="A185" s="1"/>
      <c r="B185" s="17"/>
      <c r="C185" s="15"/>
      <c r="D185" s="10"/>
      <c r="E185" s="10"/>
      <c r="F185" s="10"/>
      <c r="G185" s="7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25">
      <c r="A186" s="1"/>
      <c r="B186" s="17"/>
      <c r="C186" s="15"/>
      <c r="D186" s="10"/>
      <c r="E186" s="10"/>
      <c r="F186" s="10"/>
      <c r="G186" s="7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25">
      <c r="A187" s="1"/>
      <c r="B187" s="17"/>
      <c r="C187" s="15"/>
      <c r="D187" s="10"/>
      <c r="E187" s="10"/>
      <c r="F187" s="10"/>
      <c r="G187" s="7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25">
      <c r="A188" s="1"/>
      <c r="B188" s="17"/>
      <c r="C188" s="15"/>
      <c r="D188" s="10"/>
      <c r="E188" s="10"/>
      <c r="F188" s="10"/>
      <c r="G188" s="7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25">
      <c r="A189" s="1"/>
      <c r="B189" s="17"/>
      <c r="C189" s="15"/>
      <c r="D189" s="10"/>
      <c r="E189" s="10"/>
      <c r="F189" s="10"/>
      <c r="G189" s="7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25">
      <c r="A190" s="1"/>
      <c r="B190" s="17"/>
      <c r="C190" s="15"/>
      <c r="D190" s="10"/>
      <c r="E190" s="10"/>
      <c r="F190" s="10"/>
      <c r="G190" s="7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25">
      <c r="A191" s="1"/>
      <c r="B191" s="17"/>
      <c r="C191" s="15"/>
      <c r="D191" s="10"/>
      <c r="E191" s="10"/>
      <c r="F191" s="10"/>
      <c r="G191" s="7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25">
      <c r="A192" s="1"/>
      <c r="B192" s="17"/>
      <c r="C192" s="15"/>
      <c r="D192" s="10"/>
      <c r="E192" s="10"/>
      <c r="F192" s="10"/>
      <c r="G192" s="7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25">
      <c r="A193" s="1"/>
      <c r="B193" s="17"/>
      <c r="C193" s="15"/>
      <c r="D193" s="10"/>
      <c r="E193" s="10"/>
      <c r="F193" s="10"/>
      <c r="G193" s="7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25">
      <c r="A194" s="1"/>
      <c r="B194" s="17"/>
      <c r="C194" s="15"/>
      <c r="D194" s="10"/>
      <c r="E194" s="10"/>
      <c r="F194" s="10"/>
      <c r="G194" s="7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25">
      <c r="A195" s="1"/>
      <c r="B195" s="17"/>
      <c r="C195" s="15"/>
      <c r="D195" s="10"/>
      <c r="E195" s="10"/>
      <c r="F195" s="10"/>
      <c r="G195" s="7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25">
      <c r="A196" s="1"/>
      <c r="B196" s="17"/>
      <c r="C196" s="15"/>
      <c r="D196" s="10"/>
      <c r="E196" s="10"/>
      <c r="F196" s="10"/>
      <c r="G196" s="7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25">
      <c r="A197" s="1"/>
      <c r="B197" s="17"/>
      <c r="C197" s="15"/>
      <c r="D197" s="10"/>
      <c r="E197" s="10"/>
      <c r="F197" s="10"/>
      <c r="G197" s="7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25">
      <c r="A198" s="1"/>
      <c r="B198" s="17"/>
      <c r="C198" s="15"/>
      <c r="D198" s="10"/>
      <c r="E198" s="10"/>
      <c r="F198" s="10"/>
      <c r="G198" s="7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25">
      <c r="A199" s="1"/>
      <c r="B199" s="17"/>
      <c r="C199" s="15"/>
      <c r="D199" s="10"/>
      <c r="E199" s="10"/>
      <c r="F199" s="10"/>
      <c r="G199" s="7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25">
      <c r="A200" s="1"/>
      <c r="B200" s="17"/>
      <c r="C200" s="15"/>
      <c r="D200" s="10"/>
      <c r="E200" s="10"/>
      <c r="F200" s="10"/>
      <c r="G200" s="7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25">
      <c r="A201" s="1"/>
      <c r="B201" s="17"/>
      <c r="C201" s="15"/>
      <c r="D201" s="10"/>
      <c r="E201" s="10"/>
      <c r="F201" s="10"/>
      <c r="G201" s="7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25">
      <c r="A202" s="1"/>
      <c r="B202" s="17"/>
      <c r="C202" s="15"/>
      <c r="D202" s="10"/>
      <c r="E202" s="10"/>
      <c r="F202" s="10"/>
      <c r="G202" s="7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25">
      <c r="A203" s="1"/>
      <c r="B203" s="17"/>
      <c r="C203" s="15"/>
      <c r="D203" s="10"/>
      <c r="E203" s="10"/>
      <c r="F203" s="10"/>
      <c r="G203" s="7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25">
      <c r="A204" s="1"/>
      <c r="B204" s="17"/>
      <c r="C204" s="15"/>
      <c r="D204" s="10"/>
      <c r="E204" s="10"/>
      <c r="F204" s="10"/>
      <c r="G204" s="7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25">
      <c r="A205" s="1"/>
      <c r="B205" s="17"/>
      <c r="C205" s="15"/>
      <c r="D205" s="10"/>
      <c r="E205" s="10"/>
      <c r="F205" s="10"/>
      <c r="G205" s="7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25">
      <c r="A206" s="1"/>
      <c r="B206" s="17"/>
      <c r="C206" s="15"/>
      <c r="D206" s="10"/>
      <c r="E206" s="10"/>
      <c r="F206" s="10"/>
      <c r="G206" s="7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25">
      <c r="A207" s="1"/>
      <c r="B207" s="17"/>
      <c r="C207" s="15"/>
      <c r="D207" s="10"/>
      <c r="E207" s="10"/>
      <c r="F207" s="10"/>
      <c r="G207" s="7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25">
      <c r="A208" s="1"/>
      <c r="B208" s="17"/>
      <c r="C208" s="15"/>
      <c r="D208" s="10"/>
      <c r="E208" s="10"/>
      <c r="F208" s="10"/>
      <c r="G208" s="7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25">
      <c r="A209" s="1"/>
      <c r="B209" s="17"/>
      <c r="C209" s="15"/>
      <c r="D209" s="10"/>
      <c r="E209" s="10"/>
      <c r="F209" s="10"/>
      <c r="G209" s="7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25">
      <c r="A210" s="1"/>
      <c r="B210" s="17"/>
      <c r="C210" s="15"/>
      <c r="D210" s="10"/>
      <c r="E210" s="10"/>
      <c r="F210" s="10"/>
      <c r="G210" s="7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25">
      <c r="A211" s="1"/>
      <c r="B211" s="17"/>
      <c r="C211" s="15"/>
      <c r="D211" s="10"/>
      <c r="E211" s="10"/>
      <c r="F211" s="10"/>
      <c r="G211" s="7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25">
      <c r="A212" s="1"/>
      <c r="B212" s="17"/>
      <c r="C212" s="15"/>
      <c r="D212" s="10"/>
      <c r="E212" s="10"/>
      <c r="F212" s="10"/>
      <c r="G212" s="7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25">
      <c r="A213" s="1"/>
      <c r="B213" s="17"/>
      <c r="C213" s="15"/>
      <c r="D213" s="10"/>
      <c r="E213" s="10"/>
      <c r="F213" s="10"/>
      <c r="G213" s="7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25">
      <c r="A214" s="1"/>
      <c r="B214" s="17"/>
      <c r="C214" s="15"/>
      <c r="D214" s="10"/>
      <c r="E214" s="10"/>
      <c r="F214" s="10"/>
      <c r="G214" s="7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25">
      <c r="A215" s="1"/>
      <c r="B215" s="17"/>
      <c r="C215" s="15"/>
      <c r="D215" s="10"/>
      <c r="E215" s="10"/>
      <c r="F215" s="10"/>
      <c r="G215" s="7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25">
      <c r="A216" s="1"/>
      <c r="B216" s="17"/>
      <c r="C216" s="15"/>
      <c r="D216" s="10"/>
      <c r="E216" s="10"/>
      <c r="F216" s="10"/>
      <c r="G216" s="7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25">
      <c r="A217" s="1"/>
      <c r="B217" s="17"/>
      <c r="C217" s="15"/>
      <c r="D217" s="10"/>
      <c r="E217" s="10"/>
      <c r="F217" s="10"/>
      <c r="G217" s="7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25">
      <c r="A218" s="1"/>
      <c r="B218" s="17"/>
      <c r="C218" s="15"/>
      <c r="D218" s="10"/>
      <c r="E218" s="10"/>
      <c r="F218" s="10"/>
      <c r="G218" s="7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25">
      <c r="A219" s="1"/>
      <c r="B219" s="17"/>
      <c r="C219" s="15"/>
      <c r="D219" s="10"/>
      <c r="E219" s="10"/>
      <c r="F219" s="10"/>
      <c r="G219" s="7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25">
      <c r="A220" s="1"/>
      <c r="B220" s="17"/>
      <c r="C220" s="15"/>
      <c r="D220" s="10"/>
      <c r="E220" s="10"/>
      <c r="F220" s="10"/>
      <c r="G220" s="7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25">
      <c r="A221" s="1"/>
      <c r="B221" s="17"/>
      <c r="C221" s="15"/>
      <c r="D221" s="10"/>
      <c r="E221" s="10"/>
      <c r="F221" s="10"/>
      <c r="G221" s="7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25">
      <c r="A222" s="1"/>
      <c r="B222" s="17"/>
      <c r="C222" s="15"/>
      <c r="D222" s="10"/>
      <c r="E222" s="10"/>
      <c r="F222" s="10"/>
      <c r="G222" s="7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25">
      <c r="A223" s="1"/>
      <c r="B223" s="17"/>
      <c r="C223" s="15"/>
      <c r="D223" s="10"/>
      <c r="E223" s="10"/>
      <c r="F223" s="10"/>
      <c r="G223" s="7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25">
      <c r="A224" s="1"/>
      <c r="B224" s="17"/>
      <c r="C224" s="15"/>
      <c r="D224" s="10"/>
      <c r="E224" s="10"/>
      <c r="F224" s="10"/>
      <c r="G224" s="7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25">
      <c r="A225" s="1"/>
      <c r="B225" s="17"/>
      <c r="C225" s="15"/>
      <c r="D225" s="10"/>
      <c r="E225" s="10"/>
      <c r="F225" s="10"/>
      <c r="G225" s="7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25">
      <c r="A226" s="1"/>
      <c r="B226" s="17"/>
      <c r="C226" s="15"/>
      <c r="D226" s="10"/>
      <c r="E226" s="10"/>
      <c r="F226" s="10"/>
      <c r="G226" s="7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25">
      <c r="A227" s="1"/>
      <c r="B227" s="17"/>
      <c r="C227" s="15"/>
      <c r="D227" s="10"/>
      <c r="E227" s="10"/>
      <c r="F227" s="10"/>
      <c r="G227" s="7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25">
      <c r="A228" s="1"/>
      <c r="B228" s="17"/>
      <c r="C228" s="15"/>
      <c r="D228" s="10"/>
      <c r="E228" s="10"/>
      <c r="F228" s="10"/>
      <c r="G228" s="7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25">
      <c r="A229" s="1"/>
      <c r="B229" s="17"/>
      <c r="C229" s="15"/>
      <c r="D229" s="10"/>
      <c r="E229" s="10"/>
      <c r="F229" s="10"/>
      <c r="G229" s="7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25">
      <c r="A230" s="1"/>
      <c r="B230" s="17"/>
      <c r="C230" s="15"/>
      <c r="D230" s="10"/>
      <c r="E230" s="10"/>
      <c r="F230" s="10"/>
      <c r="G230" s="7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25">
      <c r="A231" s="1"/>
      <c r="B231" s="17"/>
      <c r="C231" s="15"/>
      <c r="D231" s="10"/>
      <c r="E231" s="10"/>
      <c r="F231" s="10"/>
      <c r="G231" s="7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25">
      <c r="A232" s="1"/>
      <c r="B232" s="17"/>
      <c r="C232" s="15"/>
      <c r="D232" s="10"/>
      <c r="E232" s="10"/>
      <c r="F232" s="10"/>
      <c r="G232" s="7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25">
      <c r="A233" s="1"/>
      <c r="B233" s="17"/>
      <c r="C233" s="15"/>
      <c r="D233" s="10"/>
      <c r="E233" s="10"/>
      <c r="F233" s="10"/>
      <c r="G233" s="7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25">
      <c r="A234" s="1"/>
      <c r="B234" s="17"/>
      <c r="C234" s="15"/>
      <c r="D234" s="10"/>
      <c r="E234" s="10"/>
      <c r="F234" s="10"/>
      <c r="G234" s="7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25">
      <c r="A235" s="1"/>
      <c r="B235" s="17"/>
      <c r="C235" s="15"/>
      <c r="D235" s="10"/>
      <c r="E235" s="10"/>
      <c r="F235" s="10"/>
      <c r="G235" s="7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25">
      <c r="A236" s="1"/>
      <c r="B236" s="17"/>
      <c r="C236" s="15"/>
      <c r="D236" s="10"/>
      <c r="E236" s="10"/>
      <c r="F236" s="10"/>
      <c r="G236" s="7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25">
      <c r="A237" s="1"/>
      <c r="B237" s="17"/>
      <c r="C237" s="15"/>
      <c r="D237" s="10"/>
      <c r="E237" s="10"/>
      <c r="F237" s="10"/>
      <c r="G237" s="7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25">
      <c r="A238" s="1"/>
      <c r="B238" s="17"/>
      <c r="C238" s="15"/>
      <c r="D238" s="10"/>
      <c r="E238" s="10"/>
      <c r="F238" s="10"/>
      <c r="G238" s="7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25">
      <c r="A239" s="1"/>
      <c r="B239" s="17"/>
      <c r="C239" s="15"/>
      <c r="D239" s="10"/>
      <c r="E239" s="10"/>
      <c r="F239" s="10"/>
      <c r="G239" s="7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25">
      <c r="A240" s="1"/>
      <c r="B240" s="17"/>
      <c r="C240" s="15"/>
      <c r="D240" s="10"/>
      <c r="E240" s="10"/>
      <c r="F240" s="10"/>
      <c r="G240" s="7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25">
      <c r="A241" s="1"/>
      <c r="B241" s="17"/>
      <c r="C241" s="15"/>
      <c r="D241" s="10"/>
      <c r="E241" s="10"/>
      <c r="F241" s="10"/>
      <c r="G241" s="7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25">
      <c r="A242" s="1"/>
      <c r="B242" s="17"/>
      <c r="C242" s="15"/>
      <c r="D242" s="10"/>
      <c r="E242" s="10"/>
      <c r="F242" s="10"/>
      <c r="G242" s="7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25">
      <c r="A243" s="1"/>
      <c r="B243" s="17"/>
      <c r="C243" s="15"/>
      <c r="D243" s="10"/>
      <c r="E243" s="10"/>
      <c r="F243" s="10"/>
      <c r="G243" s="7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25">
      <c r="A244" s="1"/>
      <c r="B244" s="17"/>
      <c r="C244" s="15"/>
      <c r="D244" s="10"/>
      <c r="E244" s="10"/>
      <c r="F244" s="10"/>
      <c r="G244" s="7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25">
      <c r="A245" s="1"/>
      <c r="B245" s="17"/>
      <c r="C245" s="15"/>
      <c r="D245" s="10"/>
      <c r="E245" s="10"/>
      <c r="F245" s="10"/>
      <c r="G245" s="7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25">
      <c r="A246" s="1"/>
      <c r="B246" s="17"/>
      <c r="C246" s="15"/>
      <c r="D246" s="10"/>
      <c r="E246" s="10"/>
      <c r="F246" s="10"/>
      <c r="G246" s="7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25">
      <c r="A247" s="1"/>
      <c r="B247" s="17"/>
      <c r="C247" s="15"/>
      <c r="D247" s="10"/>
      <c r="E247" s="10"/>
      <c r="F247" s="10"/>
      <c r="G247" s="7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25">
      <c r="A248" s="1"/>
      <c r="B248" s="17"/>
      <c r="C248" s="15"/>
      <c r="D248" s="10"/>
      <c r="E248" s="10"/>
      <c r="F248" s="10"/>
      <c r="G248" s="7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Monthly Returns</vt:lpstr>
      <vt:lpstr>Step1 </vt:lpstr>
      <vt:lpstr>Step2.Correlation.Calc</vt:lpstr>
      <vt:lpstr>Step2.graph</vt:lpstr>
      <vt:lpstr>Step3 and Step4</vt:lpstr>
      <vt:lpstr>Step5</vt:lpstr>
      <vt:lpstr>Step6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Mayank Goud</cp:lastModifiedBy>
  <dcterms:created xsi:type="dcterms:W3CDTF">2024-11-14T12:06:08Z</dcterms:created>
  <dcterms:modified xsi:type="dcterms:W3CDTF">2024-11-14T16:12:48Z</dcterms:modified>
</cp:coreProperties>
</file>